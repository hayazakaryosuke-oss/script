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撮影スケジュールA" sheetId="2" state="visible" r:id="rId2"/>
    <sheet xmlns:r="http://schemas.openxmlformats.org/officeDocument/2006/relationships" name="スタッフ機材A" sheetId="3" state="visible" r:id="rId3"/>
    <sheet xmlns:r="http://schemas.openxmlformats.org/officeDocument/2006/relationships" name="香盤" sheetId="4" state="visible" r:id="rId4"/>
    <sheet xmlns:r="http://schemas.openxmlformats.org/officeDocument/2006/relationships" name="見積もり" sheetId="5" state="visible" r:id="rId5"/>
    <sheet xmlns:r="http://schemas.openxmlformats.org/officeDocument/2006/relationships" name="根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color rgb="00008000"/>
    </font>
    <font>
      <name val="Arial"/>
      <color rgb="000000FF"/>
    </font>
    <font>
      <name val="Arial"/>
      <b val="1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0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0" borderId="0" pivotButton="0" quotePrefix="0" xfId="0"/>
    <xf numFmtId="3" fontId="5" fillId="3" borderId="0" pivotButton="0" quotePrefix="0" xfId="0"/>
    <xf numFmtId="9" fontId="5" fillId="3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164" fontId="6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1" fontId="0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165" fontId="2" fillId="0" borderId="0" pivotButton="0" quotePrefix="0" xfId="0"/>
    <xf numFmtId="0" fontId="2" fillId="4" borderId="0" pivotButton="0" quotePrefix="0" xfId="0"/>
    <xf numFmtId="165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40" customWidth="1" min="5" max="5"/>
  </cols>
  <sheetData>
    <row r="1">
      <c r="A1" s="1" t="inlineStr">
        <is>
          <t>『あなたはだんだん眠くなる』製作費 概算見積もり（第320稿ベース）</t>
        </is>
      </c>
    </row>
    <row r="2">
      <c r="A2" s="2" t="inlineStr">
        <is>
          <t>FILMOQ株式会社　2026-09-29作成　金額は円・税抜。青字＝入力値（変更可）、黄色＝早坂さんが決める前提。</t>
        </is>
      </c>
    </row>
    <row r="4">
      <c r="A4" s="3" t="inlineStr">
        <is>
          <t>前提</t>
        </is>
      </c>
      <c r="B4" s="3" t="inlineStr">
        <is>
          <t>A ミニマム（ホン・サンス型）</t>
        </is>
      </c>
      <c r="C4" s="3" t="inlineStr">
        <is>
          <t>B 標準</t>
        </is>
      </c>
      <c r="D4" s="3" t="inlineStr">
        <is>
          <t>C 余裕</t>
        </is>
      </c>
      <c r="E4" s="3" t="inlineStr">
        <is>
          <t>メモ</t>
        </is>
      </c>
    </row>
    <row r="5">
      <c r="A5" s="2" t="inlineStr">
        <is>
          <t>撮影日数（日）</t>
        </is>
      </c>
      <c r="B5" s="4">
        <f>香盤!K17</f>
        <v/>
      </c>
      <c r="C5" s="4">
        <f>香盤!L17</f>
        <v/>
      </c>
      <c r="D5" s="4">
        <f>香盤!M17</f>
        <v/>
      </c>
      <c r="E5" s="2" t="inlineStr">
        <is>
          <t>香盤シートの場ごとの日数の合計</t>
        </is>
      </c>
    </row>
    <row r="6">
      <c r="A6" s="2" t="inlineStr">
        <is>
          <t>準備日数（ロケハン・衣装合わせ・美術）</t>
        </is>
      </c>
      <c r="B6" s="5" t="n">
        <v>3</v>
      </c>
      <c r="C6" s="5" t="n">
        <v>5</v>
      </c>
      <c r="D6" s="5" t="n">
        <v>8</v>
      </c>
      <c r="E6" s="2" t="inlineStr">
        <is>
          <t>スタッフが拘束される撮影前の日数</t>
        </is>
      </c>
    </row>
    <row r="7">
      <c r="A7" s="2" t="inlineStr">
        <is>
          <t>本読み・リハーサル日数</t>
        </is>
      </c>
      <c r="B7" s="5" t="n">
        <v>3</v>
      </c>
      <c r="C7" s="5" t="n">
        <v>10</v>
      </c>
      <c r="D7" s="5" t="n">
        <v>20</v>
      </c>
      <c r="E7" s="2" t="inlineStr">
        <is>
          <t>濱口型に寄せるほど増やす</t>
        </is>
      </c>
    </row>
    <row r="8">
      <c r="A8" s="2" t="inlineStr">
        <is>
          <t>現場の人数（食事・交通の対象）</t>
        </is>
      </c>
      <c r="B8" s="5" t="n">
        <v>10</v>
      </c>
      <c r="C8" s="5" t="n">
        <v>16</v>
      </c>
      <c r="D8" s="5" t="n">
        <v>24</v>
      </c>
      <c r="E8" s="2" t="inlineStr">
        <is>
          <t>スタッフ＋その日の出演者の平均</t>
        </is>
      </c>
    </row>
    <row r="9">
      <c r="A9" s="2" t="inlineStr">
        <is>
          <t>予備費率</t>
        </is>
      </c>
      <c r="B9" s="6" t="n">
        <v>0.1</v>
      </c>
      <c r="C9" s="6" t="n">
        <v>0.1</v>
      </c>
      <c r="D9" s="6" t="n">
        <v>0.1</v>
      </c>
      <c r="E9" s="2" t="inlineStr">
        <is>
          <t>天候・夜明けの撮り直し・想定外</t>
        </is>
      </c>
    </row>
    <row r="11">
      <c r="A11" s="7" t="inlineStr">
        <is>
          <t>集計</t>
        </is>
      </c>
    </row>
    <row r="12">
      <c r="A12" s="2" t="inlineStr">
        <is>
          <t>小計（見積もりシート）</t>
        </is>
      </c>
      <c r="B12" s="8">
        <f>見積もり!J41</f>
        <v/>
      </c>
      <c r="C12" s="8">
        <f>見積もり!K41</f>
        <v/>
      </c>
      <c r="D12" s="8">
        <f>見積もり!L41</f>
        <v/>
      </c>
    </row>
    <row r="13">
      <c r="A13" s="2" t="inlineStr">
        <is>
          <t>予備費</t>
        </is>
      </c>
      <c r="B13" s="9">
        <f>B12*B9</f>
        <v/>
      </c>
      <c r="C13" s="9">
        <f>C12*C9</f>
        <v/>
      </c>
      <c r="D13" s="9">
        <f>D12*D9</f>
        <v/>
      </c>
    </row>
    <row r="14">
      <c r="A14" s="7" t="inlineStr">
        <is>
          <t>合計（税抜）</t>
        </is>
      </c>
      <c r="B14" s="10">
        <f>B12+B13</f>
        <v/>
      </c>
      <c r="C14" s="10">
        <f>C12+C13</f>
        <v/>
      </c>
      <c r="D14" s="10">
        <f>D12+D13</f>
        <v/>
      </c>
    </row>
    <row r="15">
      <c r="A15" s="2" t="inlineStr">
        <is>
          <t>消費税10%（参考）</t>
        </is>
      </c>
      <c r="B15" s="9">
        <f>B14*0.1</f>
        <v/>
      </c>
      <c r="C15" s="9">
        <f>C14*0.1</f>
        <v/>
      </c>
      <c r="D15" s="9">
        <f>D14*0.1</f>
        <v/>
      </c>
    </row>
    <row r="16">
      <c r="A16" s="7" t="inlineStr">
        <is>
          <t>合計（税込・参考）</t>
        </is>
      </c>
      <c r="B16" s="10">
        <f>B14+B15</f>
        <v/>
      </c>
      <c r="C16" s="10">
        <f>C14+C15</f>
        <v/>
      </c>
      <c r="D16" s="10">
        <f>D14+D15</f>
        <v/>
      </c>
    </row>
    <row r="18">
      <c r="A18" s="7" t="inlineStr">
        <is>
          <t>読み方</t>
        </is>
      </c>
    </row>
    <row r="19">
      <c r="A19" s="2" t="inlineStr">
        <is>
          <t>A：スタッフ6人前後、自然光と画に映る明かり中心、編集・整音の一部を自社で。ホン・サンス、初期の濱口に近い組み方。</t>
        </is>
      </c>
    </row>
    <row r="20">
      <c r="A20" s="2" t="inlineStr">
        <is>
          <t>B：スタッフ10〜12人、照明部と録音部を立てる。夜と夜明けの長回しを安全に撮れる最低ライン。</t>
        </is>
      </c>
    </row>
    <row r="21">
      <c r="A21" s="2" t="inlineStr">
        <is>
          <t>C：スタッフ15人以上、美術・看板を作り込み、映画祭の渡航まで含む。製作費3,000万円の目標を超えるので、Cから削って3,000万円に収める使い方を想定。</t>
        </is>
      </c>
    </row>
    <row r="22">
      <c r="A22" s="2" t="inlineStr">
        <is>
          <t>監督・脚本・プロデューサー（早坂）の報酬は0で計上。自社の持ち出しとして別管理。</t>
        </is>
      </c>
    </row>
    <row r="23">
      <c r="A23" s="2" t="inlineStr">
        <is>
          <t>単価は相場の推測を含む（根拠シート参照）。実際に3社以上から見積もりを取ってから確定すること。</t>
        </is>
      </c>
    </row>
    <row r="24">
      <c r="A24" s="2" t="inlineStr">
        <is>
          <t>法務（子役の就労時間・ロケ許可・出演契約）と税務（助成金・消費税の扱い）は専門家に確認。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1" customWidth="1" min="4" max="4"/>
    <col width="9" customWidth="1" min="5" max="5"/>
    <col width="36" customWidth="1" min="6" max="6"/>
    <col width="52" customWidth="1" min="7" max="7"/>
  </cols>
  <sheetData>
    <row r="1">
      <c r="A1" s="20" t="inlineStr">
        <is>
          <t>ミニマム（ホン・サンス型）撮影スケジュール案　順撮り・13撮影日＋休み3日＝16日間</t>
        </is>
      </c>
    </row>
    <row r="2">
      <c r="A2" s="2" t="inlineStr">
        <is>
          <t>物語の順に撮る（倉田の疲れが画に溜まっていく）。夜と夜明けが続くので、3〜4日ごとに休みを入れる。</t>
        </is>
      </c>
    </row>
    <row r="4">
      <c r="A4" s="3" t="inlineStr">
        <is>
          <t>日</t>
        </is>
      </c>
      <c r="B4" s="3" t="inlineStr">
        <is>
          <t>撮る場</t>
        </is>
      </c>
      <c r="C4" s="3" t="inlineStr">
        <is>
          <t>場所</t>
        </is>
      </c>
      <c r="D4" s="3" t="inlineStr">
        <is>
          <t>時間帯</t>
        </is>
      </c>
      <c r="E4" s="3" t="inlineStr">
        <is>
          <t>撮影日数</t>
        </is>
      </c>
      <c r="F4" s="3" t="inlineStr">
        <is>
          <t>出演</t>
        </is>
      </c>
      <c r="G4" s="3" t="inlineStr">
        <is>
          <t>ねらい・注意</t>
        </is>
      </c>
    </row>
    <row r="5">
      <c r="A5" s="2" t="inlineStr">
        <is>
          <t>1日目</t>
        </is>
      </c>
      <c r="B5" s="2" t="inlineStr">
        <is>
          <t>1</t>
        </is>
      </c>
      <c r="C5" s="2" t="inlineStr">
        <is>
          <t>L1 布団屋</t>
        </is>
      </c>
      <c r="D5" s="2" t="inlineStr">
        <is>
          <t>昼</t>
        </is>
      </c>
      <c r="E5" s="21" t="n">
        <v>1</v>
      </c>
      <c r="F5" s="2" t="inlineStr">
        <is>
          <t>倉田・アベ・店長・客の男</t>
        </is>
      </c>
      <c r="G5" s="2" t="inlineStr">
        <is>
          <t>実演のマットレスで倉田が本当に眠る。商店街の許可</t>
        </is>
      </c>
    </row>
    <row r="6">
      <c r="A6" s="2" t="inlineStr">
        <is>
          <t>2日目</t>
        </is>
      </c>
      <c r="B6" s="2" t="inlineStr">
        <is>
          <t>2</t>
        </is>
      </c>
      <c r="C6" s="2" t="inlineStr">
        <is>
          <t>L2 アパート204号室</t>
        </is>
      </c>
      <c r="D6" s="2" t="inlineStr">
        <is>
          <t>夜〜朝</t>
        </is>
      </c>
      <c r="E6" s="21" t="n">
        <v>1</v>
      </c>
      <c r="F6" s="2" t="inlineStr">
        <is>
          <t>倉田・ミオ・真壁</t>
        </is>
      </c>
      <c r="G6" s="2" t="inlineStr">
        <is>
          <t>九平米。看板の照り返しだけで撮る</t>
        </is>
      </c>
    </row>
    <row r="7">
      <c r="A7" s="2" t="inlineStr">
        <is>
          <t>3日目</t>
        </is>
      </c>
      <c r="B7" s="2" t="inlineStr">
        <is>
          <t>3・4</t>
        </is>
      </c>
      <c r="C7" s="2" t="inlineStr">
        <is>
          <t>L2 アパート前→204号室</t>
        </is>
      </c>
      <c r="D7" s="2" t="inlineStr">
        <is>
          <t>夜→朝</t>
        </is>
      </c>
      <c r="E7" s="21" t="n">
        <v>1.5</v>
      </c>
      <c r="F7" s="2" t="inlineStr">
        <is>
          <t>倉田・ミオ</t>
        </is>
      </c>
      <c r="G7" s="2" t="inlineStr">
        <is>
          <t>3場は植え込みの陰から一カット。そのまま朝の4場へ</t>
        </is>
      </c>
    </row>
    <row r="8">
      <c r="A8" s="22" t="inlineStr">
        <is>
          <t>休み</t>
        </is>
      </c>
      <c r="B8" s="22" t="inlineStr"/>
      <c r="C8" s="22" t="inlineStr"/>
      <c r="D8" s="22" t="inlineStr"/>
      <c r="E8" s="23" t="n">
        <v>0</v>
      </c>
      <c r="F8" s="22" t="inlineStr"/>
      <c r="G8" s="22" t="inlineStr"/>
    </row>
    <row r="9">
      <c r="A9" s="2" t="inlineStr">
        <is>
          <t>4日目</t>
        </is>
      </c>
      <c r="B9" s="2" t="inlineStr">
        <is>
          <t>5</t>
        </is>
      </c>
      <c r="C9" s="2" t="inlineStr">
        <is>
          <t>L3 雑居ビル（エレベーター・白い部屋）</t>
        </is>
      </c>
      <c r="D9" s="2" t="inlineStr">
        <is>
          <t>深夜</t>
        </is>
      </c>
      <c r="E9" s="21" t="n">
        <v>1</v>
      </c>
      <c r="F9" s="2" t="inlineStr">
        <is>
          <t>倉田・ミオ・真壁・アベ・受講生</t>
        </is>
      </c>
      <c r="G9" s="2" t="inlineStr">
        <is>
          <t>4:3からスコープへの切り替えは編集で</t>
        </is>
      </c>
    </row>
    <row r="10">
      <c r="A10" s="2" t="inlineStr">
        <is>
          <t>5日目</t>
        </is>
      </c>
      <c r="B10" s="2" t="inlineStr">
        <is>
          <t>6・7</t>
        </is>
      </c>
      <c r="C10" s="2" t="inlineStr">
        <is>
          <t>L3 給湯室・白い部屋</t>
        </is>
      </c>
      <c r="D10" s="2" t="inlineStr">
        <is>
          <t>深夜</t>
        </is>
      </c>
      <c r="E10" s="21" t="n">
        <v>1</v>
      </c>
      <c r="F10" s="2" t="inlineStr">
        <is>
          <t>倉田・ミオ・真壁・アベ</t>
        </is>
      </c>
      <c r="G10" s="2" t="inlineStr">
        <is>
          <t>7場は給湯室の一カット</t>
        </is>
      </c>
    </row>
    <row r="11">
      <c r="A11" s="2" t="inlineStr">
        <is>
          <t>6日目</t>
        </is>
      </c>
      <c r="B11" s="2" t="inlineStr">
        <is>
          <t>8</t>
        </is>
      </c>
      <c r="C11" s="2" t="inlineStr">
        <is>
          <t>L3 給湯室の奥</t>
        </is>
      </c>
      <c r="D11" s="2" t="inlineStr">
        <is>
          <t>昼〜夕</t>
        </is>
      </c>
      <c r="E11" s="21" t="n">
        <v>1</v>
      </c>
      <c r="F11" s="2" t="inlineStr">
        <is>
          <t>倉田・ミオ・アベ・コールセンターの女</t>
        </is>
      </c>
      <c r="G11" s="2" t="inlineStr">
        <is>
          <t>唯一の昼の雑居ビル。体を休める日にもなる</t>
        </is>
      </c>
    </row>
    <row r="12">
      <c r="A12" s="22" t="inlineStr">
        <is>
          <t>休み</t>
        </is>
      </c>
      <c r="B12" s="22" t="inlineStr"/>
      <c r="C12" s="22" t="inlineStr"/>
      <c r="D12" s="22" t="inlineStr"/>
      <c r="E12" s="23" t="n">
        <v>0</v>
      </c>
      <c r="F12" s="22" t="inlineStr"/>
      <c r="G12" s="22" t="inlineStr"/>
    </row>
    <row r="13">
      <c r="A13" s="2" t="inlineStr">
        <is>
          <t>7日目</t>
        </is>
      </c>
      <c r="B13" s="2" t="inlineStr">
        <is>
          <t>9</t>
        </is>
      </c>
      <c r="C13" s="2" t="inlineStr">
        <is>
          <t>L3 白い部屋</t>
        </is>
      </c>
      <c r="D13" s="2" t="inlineStr">
        <is>
          <t>夜〜未明</t>
        </is>
      </c>
      <c r="E13" s="21" t="n">
        <v>1</v>
      </c>
      <c r="F13" s="2" t="inlineStr">
        <is>
          <t>倉田・ミオ・真壁・アベ・コールセンターの女</t>
        </is>
      </c>
      <c r="G13" s="2" t="inlineStr"/>
    </row>
    <row r="14">
      <c r="A14" s="2" t="inlineStr">
        <is>
          <t>8日目</t>
        </is>
      </c>
      <c r="B14" s="2" t="inlineStr">
        <is>
          <t>10</t>
        </is>
      </c>
      <c r="C14" s="2" t="inlineStr">
        <is>
          <t>L4 非常階段・九階の踊り場</t>
        </is>
      </c>
      <c r="D14" s="2" t="inlineStr">
        <is>
          <t>夜明け</t>
        </is>
      </c>
      <c r="E14" s="21" t="n">
        <v>1</v>
      </c>
      <c r="F14" s="2" t="inlineStr">
        <is>
          <t>倉田・ミオ</t>
        </is>
      </c>
      <c r="G14" s="2" t="inlineStr">
        <is>
          <t>夜明けは約20分で1テイク</t>
        </is>
      </c>
    </row>
    <row r="15">
      <c r="A15" s="2" t="inlineStr">
        <is>
          <t>9日目</t>
        </is>
      </c>
      <c r="B15" s="2" t="inlineStr">
        <is>
          <t>11</t>
        </is>
      </c>
      <c r="C15" s="2" t="inlineStr">
        <is>
          <t>L4 非常階段〜駐車場</t>
        </is>
      </c>
      <c r="D15" s="2" t="inlineStr">
        <is>
          <t>夜明け</t>
        </is>
      </c>
      <c r="E15" s="21" t="n">
        <v>1</v>
      </c>
      <c r="F15" s="2" t="inlineStr">
        <is>
          <t>倉田・ミオ</t>
        </is>
      </c>
      <c r="G15" s="2" t="inlineStr">
        <is>
          <t>約10分の一カット（1回目）</t>
        </is>
      </c>
    </row>
    <row r="16">
      <c r="A16" s="2" t="inlineStr">
        <is>
          <t>10日目</t>
        </is>
      </c>
      <c r="B16" s="2" t="inlineStr">
        <is>
          <t>11</t>
        </is>
      </c>
      <c r="C16" s="2" t="inlineStr">
        <is>
          <t>L4 非常階段〜駐車場</t>
        </is>
      </c>
      <c r="D16" s="2" t="inlineStr">
        <is>
          <t>夜明け</t>
        </is>
      </c>
      <c r="E16" s="21" t="n">
        <v>1</v>
      </c>
      <c r="F16" s="2" t="inlineStr">
        <is>
          <t>倉田・ミオ</t>
        </is>
      </c>
      <c r="G16" s="2" t="inlineStr">
        <is>
          <t>同（予備・2回目）。良ければ11日目を前倒し</t>
        </is>
      </c>
    </row>
    <row r="17">
      <c r="A17" s="22" t="inlineStr">
        <is>
          <t>休み</t>
        </is>
      </c>
      <c r="B17" s="22" t="inlineStr"/>
      <c r="C17" s="22" t="inlineStr"/>
      <c r="D17" s="22" t="inlineStr"/>
      <c r="E17" s="23" t="n">
        <v>0</v>
      </c>
      <c r="F17" s="22" t="inlineStr"/>
      <c r="G17" s="22" t="inlineStr"/>
    </row>
    <row r="18">
      <c r="A18" s="2" t="inlineStr">
        <is>
          <t>11日目</t>
        </is>
      </c>
      <c r="B18" s="2" t="inlineStr">
        <is>
          <t>12</t>
        </is>
      </c>
      <c r="C18" s="2" t="inlineStr">
        <is>
          <t>L5 団地</t>
        </is>
      </c>
      <c r="D18" s="2" t="inlineStr">
        <is>
          <t>昼</t>
        </is>
      </c>
      <c r="E18" s="21" t="n">
        <v>1</v>
      </c>
      <c r="F18" s="2" t="inlineStr">
        <is>
          <t>倉田・ミオ・アベ・男の子</t>
        </is>
      </c>
      <c r="G18" s="2" t="inlineStr">
        <is>
          <t>子役は昼のみ、21時まで</t>
        </is>
      </c>
    </row>
    <row r="19">
      <c r="A19" s="2" t="inlineStr">
        <is>
          <t>12日目</t>
        </is>
      </c>
      <c r="B19" s="2" t="inlineStr">
        <is>
          <t>13</t>
        </is>
      </c>
      <c r="C19" s="2" t="inlineStr">
        <is>
          <t>L3 白い部屋</t>
        </is>
      </c>
      <c r="D19" s="2" t="inlineStr">
        <is>
          <t>夜〜夜明け</t>
        </is>
      </c>
      <c r="E19" s="21" t="n">
        <v>1</v>
      </c>
      <c r="F19" s="2" t="inlineStr">
        <is>
          <t>倉田・ミオ・真壁・受講生</t>
        </is>
      </c>
      <c r="G19" s="2" t="inlineStr">
        <is>
          <t>真壁の語り〜入眠の一カット</t>
        </is>
      </c>
    </row>
    <row r="20">
      <c r="A20" s="2" t="inlineStr">
        <is>
          <t>13日目</t>
        </is>
      </c>
      <c r="B20" s="2" t="inlineStr">
        <is>
          <t>13</t>
        </is>
      </c>
      <c r="C20" s="2" t="inlineStr">
        <is>
          <t>L3 白い部屋</t>
        </is>
      </c>
      <c r="D20" s="2" t="inlineStr">
        <is>
          <t>夜明け〜朝</t>
        </is>
      </c>
      <c r="E20" s="21" t="n">
        <v>0.5</v>
      </c>
      <c r="F20" s="2" t="inlineStr">
        <is>
          <t>倉田・ミオ・真壁</t>
        </is>
      </c>
      <c r="G20" s="2" t="inlineStr">
        <is>
          <t>結末の一カット（ミオが起きる〜4:3に閉じる）。残り半日は予備</t>
        </is>
      </c>
    </row>
    <row r="21">
      <c r="A21" s="7" t="inlineStr">
        <is>
          <t>撮影日数の合計</t>
        </is>
      </c>
      <c r="E21" s="7">
        <f>SUM(E5:E20)</f>
        <v/>
      </c>
    </row>
    <row r="22">
      <c r="A22" s="2" t="inlineStr">
        <is>
          <t>香盤シートのAの合計</t>
        </is>
      </c>
      <c r="E22" s="24">
        <f>香盤!K17</f>
        <v/>
      </c>
    </row>
    <row r="24">
      <c r="A24" s="2" t="inlineStr">
        <is>
          <t>L3（白い部屋・給湯室）は4〜7日目と12〜13日目の2回に分かれる。1か月借りれば続けて押さえられる（見積もりの前提）。</t>
        </is>
      </c>
    </row>
    <row r="25">
      <c r="A25" s="2" t="inlineStr">
        <is>
          <t>L3とL4が同じビルなら、8〜10日目も同じ物件で済む。物件探しの第一条件にする。</t>
        </is>
      </c>
    </row>
    <row r="26">
      <c r="A26" s="2" t="inlineStr">
        <is>
          <t>俳優を本当に寝不足にして撮ることはしない。疲れは撮る順番と休みの置き方で作る。俳優の健康と安全、労働時間の問題になるため（確信度 高）。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60" customWidth="1" min="4" max="4"/>
  </cols>
  <sheetData>
    <row r="1">
      <c r="A1" s="20" t="inlineStr">
        <is>
          <t>ミニマム（ホン・サンス型）スタッフと機材</t>
        </is>
      </c>
    </row>
    <row r="3">
      <c r="A3" s="3" t="inlineStr">
        <is>
          <t>役割</t>
        </is>
      </c>
      <c r="B3" s="3" t="inlineStr">
        <is>
          <t>人数</t>
        </is>
      </c>
      <c r="C3" s="3" t="inlineStr">
        <is>
          <t>担当</t>
        </is>
      </c>
      <c r="D3" s="3" t="inlineStr">
        <is>
          <t>メモ</t>
        </is>
      </c>
    </row>
    <row r="4">
      <c r="A4" s="2" t="inlineStr">
        <is>
          <t>監督・脚本</t>
        </is>
      </c>
      <c r="B4" s="2" t="inlineStr">
        <is>
          <t>1</t>
        </is>
      </c>
      <c r="C4" s="2" t="inlineStr">
        <is>
          <t>早坂</t>
        </is>
      </c>
      <c r="D4" s="2" t="inlineStr">
        <is>
          <t>現場で台詞を直す。撮影当日の朝に、その日の場を読み直す時間を取る</t>
        </is>
      </c>
    </row>
    <row r="5">
      <c r="A5" s="2" t="inlineStr">
        <is>
          <t>撮影（照明を兼ねる）</t>
        </is>
      </c>
      <c r="B5" s="2" t="inlineStr">
        <is>
          <t>1</t>
        </is>
      </c>
      <c r="C5" s="2" t="inlineStr">
        <is>
          <t>未定</t>
        </is>
      </c>
      <c r="D5" s="2" t="inlineStr">
        <is>
          <t>ズームで寄る。画に映る明かり（看板・蛍光灯・誘導灯）を主にする</t>
        </is>
      </c>
    </row>
    <row r="6">
      <c r="A6" s="2" t="inlineStr">
        <is>
          <t>撮影助手</t>
        </is>
      </c>
      <c r="B6" s="2" t="inlineStr">
        <is>
          <t>1</t>
        </is>
      </c>
      <c r="C6" s="2" t="inlineStr">
        <is>
          <t>未定</t>
        </is>
      </c>
      <c r="D6" s="2" t="inlineStr">
        <is>
          <t>ピント・記録媒体・機材の管理</t>
        </is>
      </c>
    </row>
    <row r="7">
      <c r="A7" s="2" t="inlineStr">
        <is>
          <t>録音</t>
        </is>
      </c>
      <c r="B7" s="2" t="inlineStr">
        <is>
          <t>1</t>
        </is>
      </c>
      <c r="C7" s="2" t="inlineStr">
        <is>
          <t>未定</t>
        </is>
      </c>
      <c r="D7" s="2" t="inlineStr">
        <is>
          <t>ガンマイク＋ピンマイク。会話劇なので一番削れない所</t>
        </is>
      </c>
    </row>
    <row r="8">
      <c r="A8" s="2" t="inlineStr">
        <is>
          <t>助監督・制作進行</t>
        </is>
      </c>
      <c r="B8" s="2" t="inlineStr">
        <is>
          <t>1</t>
        </is>
      </c>
      <c r="C8" s="2" t="inlineStr">
        <is>
          <t>未定</t>
        </is>
      </c>
      <c r="D8" s="2" t="inlineStr">
        <is>
          <t>スケジュール・許可・食事・移動を一人で回す</t>
        </is>
      </c>
    </row>
    <row r="9">
      <c r="A9" s="2" t="inlineStr">
        <is>
          <t>美術・衣装・メイク</t>
        </is>
      </c>
      <c r="B9" s="2" t="inlineStr">
        <is>
          <t>1</t>
        </is>
      </c>
      <c r="C9" s="2" t="inlineStr">
        <is>
          <t>未定</t>
        </is>
      </c>
      <c r="D9" s="2" t="inlineStr">
        <is>
          <t>白い部屋の塗り、小道具、衣装、メイクを兼ねる</t>
        </is>
      </c>
    </row>
    <row r="10">
      <c r="A10" s="7" t="inlineStr">
        <is>
          <t>合計</t>
        </is>
      </c>
      <c r="B10" s="7" t="inlineStr">
        <is>
          <t>6</t>
        </is>
      </c>
      <c r="C10" s="7" t="inlineStr"/>
      <c r="D10" s="7" t="inlineStr">
        <is>
          <t>ホン・サンスの組み方に近い最小の人数（確信度 中）</t>
        </is>
      </c>
    </row>
    <row r="12">
      <c r="A12" s="3" t="inlineStr">
        <is>
          <t>機材</t>
        </is>
      </c>
      <c r="B12" s="3" t="inlineStr">
        <is>
          <t>中身</t>
        </is>
      </c>
      <c r="C12" s="3" t="inlineStr">
        <is>
          <t>メモ</t>
        </is>
      </c>
    </row>
    <row r="13">
      <c r="A13" s="2" t="inlineStr">
        <is>
          <t>カメラ</t>
        </is>
      </c>
      <c r="B13" s="2" t="inlineStr">
        <is>
          <t>Sony FX6級＋ズームレンズ1本＋単焦点1本</t>
        </is>
      </c>
      <c r="C13" s="2" t="inlineStr">
        <is>
          <t>FX6本体は1日約8,500〜22,000円（確信度 高）</t>
        </is>
      </c>
    </row>
    <row r="14">
      <c r="A14" s="2" t="inlineStr">
        <is>
          <t>三脚</t>
        </is>
      </c>
      <c r="B14" s="2" t="inlineStr">
        <is>
          <t>重めのビデオ三脚1台</t>
        </is>
      </c>
      <c r="C14" s="2" t="inlineStr">
        <is>
          <t>固定の長回しが多い。台本の「長いレンズで、動かない」に合わせる</t>
        </is>
      </c>
    </row>
    <row r="15">
      <c r="A15" s="2" t="inlineStr">
        <is>
          <t>照明</t>
        </is>
      </c>
      <c r="B15" s="2" t="inlineStr">
        <is>
          <t>小型LED 2〜3灯、電球、延長コード</t>
        </is>
      </c>
      <c r="C15" s="2" t="inlineStr">
        <is>
          <t>主役は現場の明かり。白い部屋の蛍光灯は美術で作る</t>
        </is>
      </c>
    </row>
    <row r="16">
      <c r="A16" s="2" t="inlineStr">
        <is>
          <t>録音</t>
        </is>
      </c>
      <c r="B16" s="2" t="inlineStr">
        <is>
          <t>ガンマイク、ピンマイク2本、録音機</t>
        </is>
      </c>
      <c r="C16" s="2" t="inlineStr">
        <is>
          <t>長回しでも台詞を落とさない</t>
        </is>
      </c>
    </row>
    <row r="17">
      <c r="A17" s="2" t="inlineStr">
        <is>
          <t>記録・編集</t>
        </is>
      </c>
      <c r="B17" s="2" t="inlineStr">
        <is>
          <t>記録媒体、ハードディスク、自社の編集機</t>
        </is>
      </c>
      <c r="C17" s="2" t="inlineStr">
        <is>
          <t>編集は自社（見積もりAの前提）</t>
        </is>
      </c>
    </row>
    <row r="18">
      <c r="A18" s="2" t="inlineStr">
        <is>
          <t>車両</t>
        </is>
      </c>
      <c r="B18" s="2" t="inlineStr">
        <is>
          <t>機材車1台（レンタル）</t>
        </is>
      </c>
      <c r="C18" s="2" t="inlineStr">
        <is>
          <t>L3とL4が同じビルなら移動が減る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6" customWidth="1" min="8" max="8"/>
    <col width="36" customWidth="1" min="14" max="14"/>
  </cols>
  <sheetData>
    <row r="1">
      <c r="A1" s="3" t="inlineStr">
        <is>
          <t>場</t>
        </is>
      </c>
      <c r="B1" s="3" t="inlineStr">
        <is>
          <t>場所（まとめ案）</t>
        </is>
      </c>
      <c r="C1" s="3" t="inlineStr">
        <is>
          <t>時間帯</t>
        </is>
      </c>
      <c r="D1" s="3" t="inlineStr">
        <is>
          <t>倉田</t>
        </is>
      </c>
      <c r="E1" s="3" t="inlineStr">
        <is>
          <t>ミオ</t>
        </is>
      </c>
      <c r="F1" s="3" t="inlineStr">
        <is>
          <t>真壁</t>
        </is>
      </c>
      <c r="G1" s="3" t="inlineStr">
        <is>
          <t>アベ</t>
        </is>
      </c>
      <c r="H1" s="3" t="inlineStr">
        <is>
          <t>脇役・子ども</t>
        </is>
      </c>
      <c r="I1" s="3" t="inlineStr">
        <is>
          <t>台本行数</t>
        </is>
      </c>
      <c r="J1" s="3" t="inlineStr">
        <is>
          <t>推定分数</t>
        </is>
      </c>
      <c r="K1" s="3" t="inlineStr">
        <is>
          <t>撮影日A</t>
        </is>
      </c>
      <c r="L1" s="3" t="inlineStr">
        <is>
          <t>撮影日B</t>
        </is>
      </c>
      <c r="M1" s="3" t="inlineStr">
        <is>
          <t>撮影日C</t>
        </is>
      </c>
      <c r="N1" s="3" t="inlineStr">
        <is>
          <t>メモ</t>
        </is>
      </c>
    </row>
    <row r="2">
      <c r="A2" s="2" t="n">
        <v>1</v>
      </c>
      <c r="B2" s="2" t="inlineStr">
        <is>
          <t>L1 布団屋（商店街）</t>
        </is>
      </c>
      <c r="C2" s="2" t="inlineStr">
        <is>
          <t>昼</t>
        </is>
      </c>
      <c r="D2" s="2" t="n">
        <v>1</v>
      </c>
      <c r="E2" s="2" t="n">
        <v>0</v>
      </c>
      <c r="F2" s="2" t="n">
        <v>0</v>
      </c>
      <c r="G2" s="2" t="n">
        <v>1</v>
      </c>
      <c r="H2" s="2" t="inlineStr">
        <is>
          <t>店長・客の男</t>
        </is>
      </c>
      <c r="I2" s="2" t="n">
        <v>203</v>
      </c>
      <c r="J2" s="11">
        <f>I2/$I$15*102</f>
        <v/>
      </c>
      <c r="K2" s="12" t="n">
        <v>1</v>
      </c>
      <c r="L2" s="12" t="n">
        <v>1.5</v>
      </c>
      <c r="M2" s="12" t="n">
        <v>2</v>
      </c>
      <c r="N2" s="2" t="inlineStr"/>
    </row>
    <row r="3">
      <c r="A3" s="2" t="n">
        <v>2</v>
      </c>
      <c r="B3" s="2" t="inlineStr">
        <is>
          <t>L2 アパート204号室</t>
        </is>
      </c>
      <c r="C3" s="2" t="inlineStr">
        <is>
          <t>夜〜朝</t>
        </is>
      </c>
      <c r="D3" s="2" t="n">
        <v>1</v>
      </c>
      <c r="E3" s="2" t="n">
        <v>1</v>
      </c>
      <c r="F3" s="2" t="n">
        <v>1</v>
      </c>
      <c r="G3" s="2" t="n">
        <v>0</v>
      </c>
      <c r="H3" s="2" t="inlineStr"/>
      <c r="I3" s="2" t="n">
        <v>271</v>
      </c>
      <c r="J3" s="11">
        <f>I3/$I$15*102</f>
        <v/>
      </c>
      <c r="K3" s="12" t="n">
        <v>1</v>
      </c>
      <c r="L3" s="12" t="n">
        <v>1.5</v>
      </c>
      <c r="M3" s="12" t="n">
        <v>2</v>
      </c>
      <c r="N3" s="2" t="inlineStr"/>
    </row>
    <row r="4">
      <c r="A4" s="2" t="n">
        <v>3</v>
      </c>
      <c r="B4" s="2" t="inlineStr">
        <is>
          <t>L2 アパート前・コインランドリー看板</t>
        </is>
      </c>
      <c r="C4" s="2" t="inlineStr">
        <is>
          <t>夜</t>
        </is>
      </c>
      <c r="D4" s="2" t="n">
        <v>1</v>
      </c>
      <c r="E4" s="2" t="n">
        <v>1</v>
      </c>
      <c r="F4" s="2" t="n">
        <v>0</v>
      </c>
      <c r="G4" s="2" t="n">
        <v>0</v>
      </c>
      <c r="H4" s="2" t="inlineStr"/>
      <c r="I4" s="2" t="n">
        <v>219</v>
      </c>
      <c r="J4" s="11">
        <f>I4/$I$15*102</f>
        <v/>
      </c>
      <c r="K4" s="12" t="n">
        <v>1</v>
      </c>
      <c r="L4" s="12" t="n">
        <v>1.5</v>
      </c>
      <c r="M4" s="12" t="n">
        <v>2</v>
      </c>
      <c r="N4" s="2" t="inlineStr">
        <is>
          <t>一カット。看板の三色が要</t>
        </is>
      </c>
    </row>
    <row r="5">
      <c r="A5" s="2" t="n">
        <v>4</v>
      </c>
      <c r="B5" s="2" t="inlineStr">
        <is>
          <t>L2 アパート204号室</t>
        </is>
      </c>
      <c r="C5" s="2" t="inlineStr">
        <is>
          <t>朝</t>
        </is>
      </c>
      <c r="D5" s="2" t="n">
        <v>1</v>
      </c>
      <c r="E5" s="2" t="n">
        <v>1</v>
      </c>
      <c r="F5" s="2" t="n">
        <v>0</v>
      </c>
      <c r="G5" s="2" t="n">
        <v>0</v>
      </c>
      <c r="H5" s="2" t="inlineStr"/>
      <c r="I5" s="2" t="n">
        <v>72</v>
      </c>
      <c r="J5" s="11">
        <f>I5/$I$15*102</f>
        <v/>
      </c>
      <c r="K5" s="12" t="n">
        <v>0.5</v>
      </c>
      <c r="L5" s="12" t="n">
        <v>0.5</v>
      </c>
      <c r="M5" s="12" t="n">
        <v>1</v>
      </c>
      <c r="N5" s="2" t="inlineStr"/>
    </row>
    <row r="6">
      <c r="A6" s="2" t="n">
        <v>5</v>
      </c>
      <c r="B6" s="2" t="inlineStr">
        <is>
          <t>L3 雑居ビル（エレベーター・白い部屋）</t>
        </is>
      </c>
      <c r="C6" s="2" t="inlineStr">
        <is>
          <t>深夜</t>
        </is>
      </c>
      <c r="D6" s="2" t="n">
        <v>1</v>
      </c>
      <c r="E6" s="2" t="n">
        <v>1</v>
      </c>
      <c r="F6" s="2" t="n">
        <v>1</v>
      </c>
      <c r="G6" s="2" t="n">
        <v>1</v>
      </c>
      <c r="H6" s="2" t="inlineStr">
        <is>
          <t>コールセンターの女・受講生</t>
        </is>
      </c>
      <c r="I6" s="2" t="n">
        <v>203</v>
      </c>
      <c r="J6" s="11">
        <f>I6/$I$15*102</f>
        <v/>
      </c>
      <c r="K6" s="12" t="n">
        <v>1</v>
      </c>
      <c r="L6" s="12" t="n">
        <v>1.5</v>
      </c>
      <c r="M6" s="12" t="n">
        <v>2</v>
      </c>
      <c r="N6" s="2" t="inlineStr">
        <is>
          <t>4:3からスコープへ</t>
        </is>
      </c>
    </row>
    <row r="7">
      <c r="A7" s="2" t="n">
        <v>6</v>
      </c>
      <c r="B7" s="2" t="inlineStr">
        <is>
          <t>L3 雑居ビル（給湯室・白い部屋）</t>
        </is>
      </c>
      <c r="C7" s="2" t="inlineStr">
        <is>
          <t>深夜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inlineStr">
        <is>
          <t>受講生</t>
        </is>
      </c>
      <c r="I7" s="2" t="n">
        <v>103</v>
      </c>
      <c r="J7" s="11">
        <f>I7/$I$15*102</f>
        <v/>
      </c>
      <c r="K7" s="12" t="n">
        <v>0.5</v>
      </c>
      <c r="L7" s="12" t="n">
        <v>1</v>
      </c>
      <c r="M7" s="12" t="n">
        <v>1.5</v>
      </c>
      <c r="N7" s="2" t="inlineStr"/>
    </row>
    <row r="8">
      <c r="A8" s="2" t="n">
        <v>7</v>
      </c>
      <c r="B8" s="2" t="inlineStr">
        <is>
          <t>L3 雑居ビル（給湯室）</t>
        </is>
      </c>
      <c r="C8" s="2" t="inlineStr">
        <is>
          <t>深夜</t>
        </is>
      </c>
      <c r="D8" s="2" t="n">
        <v>1</v>
      </c>
      <c r="E8" s="2" t="n">
        <v>1</v>
      </c>
      <c r="F8" s="2" t="n">
        <v>1</v>
      </c>
      <c r="G8" s="2" t="n">
        <v>0</v>
      </c>
      <c r="H8" s="2" t="inlineStr"/>
      <c r="I8" s="2" t="n">
        <v>124</v>
      </c>
      <c r="J8" s="11">
        <f>I8/$I$15*102</f>
        <v/>
      </c>
      <c r="K8" s="12" t="n">
        <v>0.5</v>
      </c>
      <c r="L8" s="12" t="n">
        <v>1</v>
      </c>
      <c r="M8" s="12" t="n">
        <v>1.5</v>
      </c>
      <c r="N8" s="2" t="inlineStr">
        <is>
          <t>一カット</t>
        </is>
      </c>
    </row>
    <row r="9">
      <c r="A9" s="2" t="n">
        <v>8</v>
      </c>
      <c r="B9" s="2" t="inlineStr">
        <is>
          <t>L3 雑居ビル（給湯室の奥）</t>
        </is>
      </c>
      <c r="C9" s="2" t="inlineStr">
        <is>
          <t>昼〜夕</t>
        </is>
      </c>
      <c r="D9" s="2" t="n">
        <v>1</v>
      </c>
      <c r="E9" s="2" t="n">
        <v>1</v>
      </c>
      <c r="F9" s="2" t="n">
        <v>0</v>
      </c>
      <c r="G9" s="2" t="n">
        <v>1</v>
      </c>
      <c r="H9" s="2" t="inlineStr">
        <is>
          <t>コールセンターの女</t>
        </is>
      </c>
      <c r="I9" s="2" t="n">
        <v>225</v>
      </c>
      <c r="J9" s="11">
        <f>I9/$I$15*102</f>
        <v/>
      </c>
      <c r="K9" s="12" t="n">
        <v>1</v>
      </c>
      <c r="L9" s="12" t="n">
        <v>1.5</v>
      </c>
      <c r="M9" s="12" t="n">
        <v>2</v>
      </c>
      <c r="N9" s="2" t="inlineStr"/>
    </row>
    <row r="10">
      <c r="A10" s="2" t="n">
        <v>9</v>
      </c>
      <c r="B10" s="2" t="inlineStr">
        <is>
          <t>L3 雑居ビル（白い部屋）</t>
        </is>
      </c>
      <c r="C10" s="2" t="inlineStr">
        <is>
          <t>夜〜未明</t>
        </is>
      </c>
      <c r="D10" s="2" t="n">
        <v>1</v>
      </c>
      <c r="E10" s="2" t="n">
        <v>1</v>
      </c>
      <c r="F10" s="2" t="n">
        <v>1</v>
      </c>
      <c r="G10" s="2" t="n">
        <v>1</v>
      </c>
      <c r="H10" s="2" t="inlineStr">
        <is>
          <t>コールセンターの女</t>
        </is>
      </c>
      <c r="I10" s="2" t="n">
        <v>221</v>
      </c>
      <c r="J10" s="11">
        <f>I10/$I$15*102</f>
        <v/>
      </c>
      <c r="K10" s="12" t="n">
        <v>1</v>
      </c>
      <c r="L10" s="12" t="n">
        <v>1.5</v>
      </c>
      <c r="M10" s="12" t="n">
        <v>2</v>
      </c>
      <c r="N10" s="2" t="inlineStr"/>
    </row>
    <row r="11">
      <c r="A11" s="2" t="n">
        <v>10</v>
      </c>
      <c r="B11" s="2" t="inlineStr">
        <is>
          <t>L4 非常階段・九階の踊り場</t>
        </is>
      </c>
      <c r="C11" s="2" t="inlineStr">
        <is>
          <t>夜明け</t>
        </is>
      </c>
      <c r="D11" s="2" t="n">
        <v>1</v>
      </c>
      <c r="E11" s="2" t="n">
        <v>1</v>
      </c>
      <c r="F11" s="2" t="n">
        <v>0</v>
      </c>
      <c r="G11" s="2" t="n">
        <v>0</v>
      </c>
      <c r="H11" s="2" t="inlineStr"/>
      <c r="I11" s="2" t="n">
        <v>107</v>
      </c>
      <c r="J11" s="11">
        <f>I11/$I$15*102</f>
        <v/>
      </c>
      <c r="K11" s="12" t="n">
        <v>1</v>
      </c>
      <c r="L11" s="12" t="n">
        <v>1</v>
      </c>
      <c r="M11" s="12" t="n">
        <v>1.5</v>
      </c>
      <c r="N11" s="2" t="inlineStr">
        <is>
          <t>一カット。夜明けは1日1テイク</t>
        </is>
      </c>
    </row>
    <row r="12">
      <c r="A12" s="2" t="n">
        <v>11</v>
      </c>
      <c r="B12" s="2" t="inlineStr">
        <is>
          <t>L4 非常階段〜駐車場</t>
        </is>
      </c>
      <c r="C12" s="2" t="inlineStr">
        <is>
          <t>夜明け</t>
        </is>
      </c>
      <c r="D12" s="2" t="n">
        <v>1</v>
      </c>
      <c r="E12" s="2" t="n">
        <v>1</v>
      </c>
      <c r="F12" s="2" t="n">
        <v>0</v>
      </c>
      <c r="G12" s="2" t="n">
        <v>0</v>
      </c>
      <c r="H12" s="2" t="inlineStr"/>
      <c r="I12" s="2" t="n">
        <v>199</v>
      </c>
      <c r="J12" s="11">
        <f>I12/$I$15*102</f>
        <v/>
      </c>
      <c r="K12" s="12" t="n">
        <v>2</v>
      </c>
      <c r="L12" s="12" t="n">
        <v>2</v>
      </c>
      <c r="M12" s="12" t="n">
        <v>3</v>
      </c>
      <c r="N12" s="2" t="inlineStr">
        <is>
          <t>約10分の一カット。撮り直し日を含む</t>
        </is>
      </c>
    </row>
    <row r="13">
      <c r="A13" s="2" t="n">
        <v>12</v>
      </c>
      <c r="B13" s="2" t="inlineStr">
        <is>
          <t>L5 団地</t>
        </is>
      </c>
      <c r="C13" s="2" t="inlineStr">
        <is>
          <t>昼</t>
        </is>
      </c>
      <c r="D13" s="2" t="n">
        <v>1</v>
      </c>
      <c r="E13" s="2" t="n">
        <v>1</v>
      </c>
      <c r="F13" s="2" t="n">
        <v>0</v>
      </c>
      <c r="G13" s="2" t="n">
        <v>1</v>
      </c>
      <c r="H13" s="2" t="inlineStr">
        <is>
          <t>男の子（子役・昼のみ）</t>
        </is>
      </c>
      <c r="I13" s="2" t="n">
        <v>156</v>
      </c>
      <c r="J13" s="11">
        <f>I13/$I$15*102</f>
        <v/>
      </c>
      <c r="K13" s="12" t="n">
        <v>1</v>
      </c>
      <c r="L13" s="12" t="n">
        <v>1</v>
      </c>
      <c r="M13" s="12" t="n">
        <v>1.5</v>
      </c>
      <c r="N13" s="2" t="inlineStr">
        <is>
          <t>子役は21時まで（演劇子役の特例）</t>
        </is>
      </c>
    </row>
    <row r="14">
      <c r="A14" s="2" t="n">
        <v>13</v>
      </c>
      <c r="B14" s="2" t="inlineStr">
        <is>
          <t>L3 雑居ビル（白い部屋）</t>
        </is>
      </c>
      <c r="C14" s="2" t="inlineStr">
        <is>
          <t>夜〜朝</t>
        </is>
      </c>
      <c r="D14" s="2" t="n">
        <v>1</v>
      </c>
      <c r="E14" s="2" t="n">
        <v>1</v>
      </c>
      <c r="F14" s="2" t="n">
        <v>1</v>
      </c>
      <c r="G14" s="2" t="n">
        <v>0</v>
      </c>
      <c r="H14" s="2" t="inlineStr">
        <is>
          <t>受講生（エキストラ）</t>
        </is>
      </c>
      <c r="I14" s="2" t="n">
        <v>313</v>
      </c>
      <c r="J14" s="11">
        <f>I14/$I$15*102</f>
        <v/>
      </c>
      <c r="K14" s="12" t="n">
        <v>1.5</v>
      </c>
      <c r="L14" s="12" t="n">
        <v>2.5</v>
      </c>
      <c r="M14" s="12" t="n">
        <v>3</v>
      </c>
      <c r="N14" s="2" t="inlineStr">
        <is>
          <t>語り〜入眠の一カット＋結末の一カット</t>
        </is>
      </c>
    </row>
    <row r="15">
      <c r="A15" s="7" t="inlineStr">
        <is>
          <t>合計</t>
        </is>
      </c>
      <c r="I15">
        <f>SUM(I2:I14)</f>
        <v/>
      </c>
      <c r="J15" s="13">
        <f>SUM(J2:J14)</f>
        <v/>
      </c>
    </row>
    <row r="16">
      <c r="A16" s="7" t="inlineStr">
        <is>
          <t>出演日数（その俳優が出る場の撮影日の合計）</t>
        </is>
      </c>
    </row>
    <row r="17">
      <c r="A17" s="7" t="inlineStr">
        <is>
          <t>撮影日数の合計</t>
        </is>
      </c>
      <c r="K17" s="7">
        <f>SUM(K2:K14)</f>
        <v/>
      </c>
      <c r="L17" s="7">
        <f>SUM(L2:L14)</f>
        <v/>
      </c>
      <c r="M17" s="7">
        <f>SUM(M2:M14)</f>
        <v/>
      </c>
    </row>
    <row r="19">
      <c r="A19" s="7" t="inlineStr">
        <is>
          <t>俳優別の出演日数</t>
        </is>
      </c>
    </row>
    <row r="20">
      <c r="A20" s="3" t="inlineStr">
        <is>
          <t>俳優</t>
        </is>
      </c>
      <c r="K20" s="3" t="inlineStr">
        <is>
          <t>A</t>
        </is>
      </c>
      <c r="L20" s="3" t="inlineStr">
        <is>
          <t>B</t>
        </is>
      </c>
      <c r="M20" s="3" t="inlineStr">
        <is>
          <t>C</t>
        </is>
      </c>
    </row>
    <row r="21">
      <c r="A21" s="2" t="inlineStr">
        <is>
          <t>倉田</t>
        </is>
      </c>
      <c r="K21" s="11">
        <f>SUMPRODUCT(D2:D14,K2:K14)</f>
        <v/>
      </c>
      <c r="L21" s="11">
        <f>SUMPRODUCT(D2:D14,L2:L14)</f>
        <v/>
      </c>
      <c r="M21" s="11">
        <f>SUMPRODUCT(D2:D14,M2:M14)</f>
        <v/>
      </c>
    </row>
    <row r="22">
      <c r="A22" s="2" t="inlineStr">
        <is>
          <t>ミオ</t>
        </is>
      </c>
      <c r="K22" s="11">
        <f>SUMPRODUCT(E2:E14,K2:K14)</f>
        <v/>
      </c>
      <c r="L22" s="11">
        <f>SUMPRODUCT(E2:E14,L2:L14)</f>
        <v/>
      </c>
      <c r="M22" s="11">
        <f>SUMPRODUCT(E2:E14,M2:M14)</f>
        <v/>
      </c>
    </row>
    <row r="23">
      <c r="A23" s="2" t="inlineStr">
        <is>
          <t>真壁</t>
        </is>
      </c>
      <c r="K23" s="11">
        <f>SUMPRODUCT(F2:F14,K2:K14)</f>
        <v/>
      </c>
      <c r="L23" s="11">
        <f>SUMPRODUCT(F2:F14,L2:L14)</f>
        <v/>
      </c>
      <c r="M23" s="11">
        <f>SUMPRODUCT(F2:F14,M2:M14)</f>
        <v/>
      </c>
    </row>
    <row r="24">
      <c r="A24" s="2" t="inlineStr">
        <is>
          <t>アベ</t>
        </is>
      </c>
      <c r="K24" s="11">
        <f>SUMPRODUCT(G2:G14,K2:K14)</f>
        <v/>
      </c>
      <c r="L24" s="11">
        <f>SUMPRODUCT(G2:G14,L2:L14)</f>
        <v/>
      </c>
      <c r="M24" s="11">
        <f>SUMPRODUCT(G2:G14,M2:M14)</f>
        <v/>
      </c>
    </row>
    <row r="26">
      <c r="A26" s="2" t="inlineStr">
        <is>
          <t>場所のまとめ案：8か所→5か所（L1〜L5）。L3とL4を同じ雑居ビルで借りられれば、移動と借り賃が大きく減る。</t>
        </is>
      </c>
    </row>
    <row r="27">
      <c r="A27" s="2" t="inlineStr">
        <is>
          <t>撮影順：倉田の声を睡眠で作るなら、L3は5〜9場と13場で2回に分けて借りる（順撮り）。場所でまとめるなら1回で済むが、芝居の作り方が変わる。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50" customWidth="1" min="13" max="13"/>
  </cols>
  <sheetData>
    <row r="1">
      <c r="A1" s="3" t="inlineStr">
        <is>
          <t>区分</t>
        </is>
      </c>
      <c r="B1" s="3" t="inlineStr">
        <is>
          <t>項目</t>
        </is>
      </c>
      <c r="C1" s="3" t="inlineStr">
        <is>
          <t>単位</t>
        </is>
      </c>
      <c r="D1" s="3" t="inlineStr">
        <is>
          <t>数量A</t>
        </is>
      </c>
      <c r="E1" s="3" t="inlineStr">
        <is>
          <t>数量B</t>
        </is>
      </c>
      <c r="F1" s="3" t="inlineStr">
        <is>
          <t>数量C</t>
        </is>
      </c>
      <c r="G1" s="3" t="inlineStr">
        <is>
          <t>単価A</t>
        </is>
      </c>
      <c r="H1" s="3" t="inlineStr">
        <is>
          <t>単価B</t>
        </is>
      </c>
      <c r="I1" s="3" t="inlineStr">
        <is>
          <t>単価C</t>
        </is>
      </c>
      <c r="J1" s="3" t="inlineStr">
        <is>
          <t>金額A</t>
        </is>
      </c>
      <c r="K1" s="3" t="inlineStr">
        <is>
          <t>金額B</t>
        </is>
      </c>
      <c r="L1" s="3" t="inlineStr">
        <is>
          <t>金額C</t>
        </is>
      </c>
      <c r="M1" s="3" t="inlineStr">
        <is>
          <t>根拠・確信度</t>
        </is>
      </c>
    </row>
    <row r="2">
      <c r="A2" s="2" t="inlineStr">
        <is>
          <t>出演</t>
        </is>
      </c>
      <c r="B2" s="2" t="inlineStr">
        <is>
          <t>倉田（主演）</t>
        </is>
      </c>
      <c r="C2" s="2" t="inlineStr">
        <is>
          <t>日</t>
        </is>
      </c>
      <c r="D2" s="14">
        <f>香盤!K21</f>
        <v/>
      </c>
      <c r="E2" s="14">
        <f>香盤!L21</f>
        <v/>
      </c>
      <c r="F2" s="14">
        <f>香盤!M21</f>
        <v/>
      </c>
      <c r="G2" s="15" t="n">
        <v>50000</v>
      </c>
      <c r="H2" s="15" t="n">
        <v>80000</v>
      </c>
      <c r="I2" s="15" t="n">
        <v>120000</v>
      </c>
      <c r="J2" s="9">
        <f>D2*G2</f>
        <v/>
      </c>
      <c r="K2" s="9">
        <f>E2*H2</f>
        <v/>
      </c>
      <c r="L2" s="9">
        <f>F2*I2</f>
        <v/>
      </c>
      <c r="M2" s="2" t="inlineStr">
        <is>
          <t>推測・確信度 低。俳優と事務所で大きく変わる</t>
        </is>
      </c>
    </row>
    <row r="3">
      <c r="A3" s="2" t="inlineStr">
        <is>
          <t>出演</t>
        </is>
      </c>
      <c r="B3" s="2" t="inlineStr">
        <is>
          <t>ミオ（主演）</t>
        </is>
      </c>
      <c r="C3" s="2" t="inlineStr">
        <is>
          <t>日</t>
        </is>
      </c>
      <c r="D3" s="14">
        <f>香盤!K22</f>
        <v/>
      </c>
      <c r="E3" s="14">
        <f>香盤!L22</f>
        <v/>
      </c>
      <c r="F3" s="14">
        <f>香盤!M22</f>
        <v/>
      </c>
      <c r="G3" s="15" t="n">
        <v>50000</v>
      </c>
      <c r="H3" s="15" t="n">
        <v>80000</v>
      </c>
      <c r="I3" s="15" t="n">
        <v>120000</v>
      </c>
      <c r="J3" s="9">
        <f>D3*G3</f>
        <v/>
      </c>
      <c r="K3" s="9">
        <f>E3*H3</f>
        <v/>
      </c>
      <c r="L3" s="9">
        <f>F3*I3</f>
        <v/>
      </c>
      <c r="M3" s="2" t="inlineStr">
        <is>
          <t>推測・確信度 低</t>
        </is>
      </c>
    </row>
    <row r="4">
      <c r="A4" s="2" t="inlineStr">
        <is>
          <t>出演</t>
        </is>
      </c>
      <c r="B4" s="2" t="inlineStr">
        <is>
          <t>真壁</t>
        </is>
      </c>
      <c r="C4" s="2" t="inlineStr">
        <is>
          <t>日</t>
        </is>
      </c>
      <c r="D4" s="14">
        <f>香盤!K23</f>
        <v/>
      </c>
      <c r="E4" s="14">
        <f>香盤!L23</f>
        <v/>
      </c>
      <c r="F4" s="14">
        <f>香盤!M23</f>
        <v/>
      </c>
      <c r="G4" s="15" t="n">
        <v>40000</v>
      </c>
      <c r="H4" s="15" t="n">
        <v>60000</v>
      </c>
      <c r="I4" s="15" t="n">
        <v>100000</v>
      </c>
      <c r="J4" s="9">
        <f>D4*G4</f>
        <v/>
      </c>
      <c r="K4" s="9">
        <f>E4*H4</f>
        <v/>
      </c>
      <c r="L4" s="9">
        <f>F4*I4</f>
        <v/>
      </c>
      <c r="M4" s="2" t="inlineStr">
        <is>
          <t>推測・確信度 低</t>
        </is>
      </c>
    </row>
    <row r="5">
      <c r="A5" s="2" t="inlineStr">
        <is>
          <t>出演</t>
        </is>
      </c>
      <c r="B5" s="2" t="inlineStr">
        <is>
          <t>アベさん</t>
        </is>
      </c>
      <c r="C5" s="2" t="inlineStr">
        <is>
          <t>日</t>
        </is>
      </c>
      <c r="D5" s="14">
        <f>香盤!K24</f>
        <v/>
      </c>
      <c r="E5" s="14">
        <f>香盤!L24</f>
        <v/>
      </c>
      <c r="F5" s="14">
        <f>香盤!M24</f>
        <v/>
      </c>
      <c r="G5" s="15" t="n">
        <v>30000</v>
      </c>
      <c r="H5" s="15" t="n">
        <v>50000</v>
      </c>
      <c r="I5" s="15" t="n">
        <v>80000</v>
      </c>
      <c r="J5" s="9">
        <f>D5*G5</f>
        <v/>
      </c>
      <c r="K5" s="9">
        <f>E5*H5</f>
        <v/>
      </c>
      <c r="L5" s="9">
        <f>F5*I5</f>
        <v/>
      </c>
      <c r="M5" s="2" t="inlineStr">
        <is>
          <t>推測・確信度 低</t>
        </is>
      </c>
    </row>
    <row r="6">
      <c r="A6" s="2" t="inlineStr">
        <is>
          <t>出演</t>
        </is>
      </c>
      <c r="B6" s="2" t="inlineStr">
        <is>
          <t>脇役（店長・客の男・コールセンターの女）</t>
        </is>
      </c>
      <c r="C6" s="2" t="inlineStr">
        <is>
          <t>人日</t>
        </is>
      </c>
      <c r="D6" s="16" t="n">
        <v>6</v>
      </c>
      <c r="E6" s="16" t="n">
        <v>8</v>
      </c>
      <c r="F6" s="16" t="n">
        <v>10</v>
      </c>
      <c r="G6" s="15" t="n">
        <v>20000</v>
      </c>
      <c r="H6" s="15" t="n">
        <v>30000</v>
      </c>
      <c r="I6" s="15" t="n">
        <v>50000</v>
      </c>
      <c r="J6" s="9">
        <f>D6*G6</f>
        <v/>
      </c>
      <c r="K6" s="9">
        <f>E6*H6</f>
        <v/>
      </c>
      <c r="L6" s="9">
        <f>F6*I6</f>
        <v/>
      </c>
      <c r="M6" s="2" t="inlineStr">
        <is>
          <t>推測・確信度 低</t>
        </is>
      </c>
    </row>
    <row r="7">
      <c r="A7" s="2" t="inlineStr">
        <is>
          <t>出演</t>
        </is>
      </c>
      <c r="B7" s="2" t="inlineStr">
        <is>
          <t>子役（男の子）＋付き添い</t>
        </is>
      </c>
      <c r="C7" s="2" t="inlineStr">
        <is>
          <t>日</t>
        </is>
      </c>
      <c r="D7" s="16" t="n">
        <v>1</v>
      </c>
      <c r="E7" s="16" t="n">
        <v>1</v>
      </c>
      <c r="F7" s="16" t="n">
        <v>1.5</v>
      </c>
      <c r="G7" s="15" t="n">
        <v>30000</v>
      </c>
      <c r="H7" s="15" t="n">
        <v>50000</v>
      </c>
      <c r="I7" s="15" t="n">
        <v>80000</v>
      </c>
      <c r="J7" s="9">
        <f>D7*G7</f>
        <v/>
      </c>
      <c r="K7" s="9">
        <f>E7*H7</f>
        <v/>
      </c>
      <c r="L7" s="9">
        <f>F7*I7</f>
        <v/>
      </c>
      <c r="M7" s="2" t="inlineStr">
        <is>
          <t>昼のみ。就労は21時まで（演劇子役の特例）</t>
        </is>
      </c>
    </row>
    <row r="8">
      <c r="A8" s="2" t="inlineStr">
        <is>
          <t>出演</t>
        </is>
      </c>
      <c r="B8" s="2" t="inlineStr">
        <is>
          <t>受講生エキストラ</t>
        </is>
      </c>
      <c r="C8" s="2" t="inlineStr">
        <is>
          <t>人日</t>
        </is>
      </c>
      <c r="D8" s="16" t="n">
        <v>6</v>
      </c>
      <c r="E8" s="16" t="n">
        <v>10</v>
      </c>
      <c r="F8" s="16" t="n">
        <v>15</v>
      </c>
      <c r="G8" s="15" t="n">
        <v>5000</v>
      </c>
      <c r="H8" s="15" t="n">
        <v>10000</v>
      </c>
      <c r="I8" s="15" t="n">
        <v>15000</v>
      </c>
      <c r="J8" s="9">
        <f>D8*G8</f>
        <v/>
      </c>
      <c r="K8" s="9">
        <f>E8*H8</f>
        <v/>
      </c>
      <c r="L8" s="9">
        <f>F8*I8</f>
        <v/>
      </c>
      <c r="M8" s="2" t="inlineStr">
        <is>
          <t>推測・確信度 中</t>
        </is>
      </c>
    </row>
    <row r="9">
      <c r="A9" s="2" t="inlineStr">
        <is>
          <t>出演</t>
        </is>
      </c>
      <c r="B9" s="2" t="inlineStr">
        <is>
          <t>本読み・リハーサル（主演4人）</t>
        </is>
      </c>
      <c r="C9" s="2" t="inlineStr">
        <is>
          <t>人日</t>
        </is>
      </c>
      <c r="D9" s="14">
        <f>概要!B7*4</f>
        <v/>
      </c>
      <c r="E9" s="14">
        <f>概要!C7*4</f>
        <v/>
      </c>
      <c r="F9" s="14">
        <f>概要!D7*4</f>
        <v/>
      </c>
      <c r="G9" s="15" t="n">
        <v>10000</v>
      </c>
      <c r="H9" s="15" t="n">
        <v>15000</v>
      </c>
      <c r="I9" s="15" t="n">
        <v>20000</v>
      </c>
      <c r="J9" s="9">
        <f>D9*G9</f>
        <v/>
      </c>
      <c r="K9" s="9">
        <f>E9*H9</f>
        <v/>
      </c>
      <c r="L9" s="9">
        <f>F9*I9</f>
        <v/>
      </c>
      <c r="M9" s="2" t="inlineStr">
        <is>
          <t>推測・確信度 低</t>
        </is>
      </c>
    </row>
    <row r="10">
      <c r="A10" s="2" t="inlineStr">
        <is>
          <t>スタッフ</t>
        </is>
      </c>
      <c r="B10" s="2" t="inlineStr">
        <is>
          <t>撮影技師</t>
        </is>
      </c>
      <c r="C10" s="2" t="inlineStr">
        <is>
          <t>日</t>
        </is>
      </c>
      <c r="D10" s="14">
        <f>概要!B5+概要!B6</f>
        <v/>
      </c>
      <c r="E10" s="14">
        <f>概要!C5+概要!C6</f>
        <v/>
      </c>
      <c r="F10" s="14">
        <f>概要!D5+概要!D6</f>
        <v/>
      </c>
      <c r="G10" s="15" t="n">
        <v>30000</v>
      </c>
      <c r="H10" s="15" t="n">
        <v>40000</v>
      </c>
      <c r="I10" s="15" t="n">
        <v>50000</v>
      </c>
      <c r="J10" s="9">
        <f>D10*G10</f>
        <v/>
      </c>
      <c r="K10" s="9">
        <f>E10*H10</f>
        <v/>
      </c>
      <c r="L10" s="9">
        <f>F10*I10</f>
        <v/>
      </c>
      <c r="M10" s="2" t="inlineStr">
        <is>
          <t>カメラマン日当の相場 約2万円/日を下限の目安に（確信度 中）</t>
        </is>
      </c>
    </row>
    <row r="11">
      <c r="A11" s="2" t="inlineStr">
        <is>
          <t>スタッフ</t>
        </is>
      </c>
      <c r="B11" s="2" t="inlineStr">
        <is>
          <t>撮影助手</t>
        </is>
      </c>
      <c r="C11" s="2" t="inlineStr">
        <is>
          <t>人日</t>
        </is>
      </c>
      <c r="D11" s="14">
        <f>概要!B5*1</f>
        <v/>
      </c>
      <c r="E11" s="14">
        <f>概要!C5*1</f>
        <v/>
      </c>
      <c r="F11" s="14">
        <f>概要!D5*2</f>
        <v/>
      </c>
      <c r="G11" s="15" t="n">
        <v>15000</v>
      </c>
      <c r="H11" s="15" t="n">
        <v>20000</v>
      </c>
      <c r="I11" s="15" t="n">
        <v>25000</v>
      </c>
      <c r="J11" s="9">
        <f>D11*G11</f>
        <v/>
      </c>
      <c r="K11" s="9">
        <f>E11*H11</f>
        <v/>
      </c>
      <c r="L11" s="9">
        <f>F11*I11</f>
        <v/>
      </c>
      <c r="M11" s="2" t="inlineStr">
        <is>
          <t>推測・確信度 中</t>
        </is>
      </c>
    </row>
    <row r="12">
      <c r="A12" s="2" t="inlineStr">
        <is>
          <t>スタッフ</t>
        </is>
      </c>
      <c r="B12" s="2" t="inlineStr">
        <is>
          <t>照明技師＋助手</t>
        </is>
      </c>
      <c r="C12" s="2" t="inlineStr">
        <is>
          <t>人日</t>
        </is>
      </c>
      <c r="D12" s="14">
        <f>概要!B5*0</f>
        <v/>
      </c>
      <c r="E12" s="14">
        <f>概要!C5*2</f>
        <v/>
      </c>
      <c r="F12" s="14">
        <f>概要!D5*3</f>
        <v/>
      </c>
      <c r="G12" s="15" t="n">
        <v>0</v>
      </c>
      <c r="H12" s="15" t="n">
        <v>30000</v>
      </c>
      <c r="I12" s="15" t="n">
        <v>35000</v>
      </c>
      <c r="J12" s="9">
        <f>D12*G12</f>
        <v/>
      </c>
      <c r="K12" s="9">
        <f>E12*H12</f>
        <v/>
      </c>
      <c r="L12" s="9">
        <f>F12*I12</f>
        <v/>
      </c>
      <c r="M12" s="2" t="inlineStr">
        <is>
          <t>A は撮影部が兼ねる。推測・確信度 中</t>
        </is>
      </c>
    </row>
    <row r="13">
      <c r="A13" s="2" t="inlineStr">
        <is>
          <t>スタッフ</t>
        </is>
      </c>
      <c r="B13" s="2" t="inlineStr">
        <is>
          <t>録音技師</t>
        </is>
      </c>
      <c r="C13" s="2" t="inlineStr">
        <is>
          <t>日</t>
        </is>
      </c>
      <c r="D13" s="14">
        <f>概要!B5+概要!B6</f>
        <v/>
      </c>
      <c r="E13" s="14">
        <f>概要!C5+概要!C6</f>
        <v/>
      </c>
      <c r="F13" s="14">
        <f>概要!D5+概要!D6</f>
        <v/>
      </c>
      <c r="G13" s="15" t="n">
        <v>25000</v>
      </c>
      <c r="H13" s="15" t="n">
        <v>30000</v>
      </c>
      <c r="I13" s="15" t="n">
        <v>40000</v>
      </c>
      <c r="J13" s="9">
        <f>D13*G13</f>
        <v/>
      </c>
      <c r="K13" s="9">
        <f>E13*H13</f>
        <v/>
      </c>
      <c r="L13" s="9">
        <f>F13*I13</f>
        <v/>
      </c>
      <c r="M13" s="2" t="inlineStr">
        <is>
          <t>推測・確信度 中</t>
        </is>
      </c>
    </row>
    <row r="14">
      <c r="A14" s="2" t="inlineStr">
        <is>
          <t>スタッフ</t>
        </is>
      </c>
      <c r="B14" s="2" t="inlineStr">
        <is>
          <t>助監督・制作進行</t>
        </is>
      </c>
      <c r="C14" s="2" t="inlineStr">
        <is>
          <t>人日</t>
        </is>
      </c>
      <c r="D14" s="14">
        <f>概要!B5+概要!B6*1</f>
        <v/>
      </c>
      <c r="E14" s="14">
        <f>概要!C5+概要!C6*2</f>
        <v/>
      </c>
      <c r="F14" s="14">
        <f>概要!D5+概要!D6*3</f>
        <v/>
      </c>
      <c r="G14" s="15" t="n">
        <v>20000</v>
      </c>
      <c r="H14" s="15" t="n">
        <v>25000</v>
      </c>
      <c r="I14" s="15" t="n">
        <v>30000</v>
      </c>
      <c r="J14" s="9">
        <f>D14*G14</f>
        <v/>
      </c>
      <c r="K14" s="9">
        <f>E14*H14</f>
        <v/>
      </c>
      <c r="L14" s="9">
        <f>F14*I14</f>
        <v/>
      </c>
      <c r="M14" s="2" t="inlineStr">
        <is>
          <t>推測・確信度 中</t>
        </is>
      </c>
    </row>
    <row r="15">
      <c r="A15" s="2" t="inlineStr">
        <is>
          <t>スタッフ</t>
        </is>
      </c>
      <c r="B15" s="2" t="inlineStr">
        <is>
          <t>美術・衣装・メイク</t>
        </is>
      </c>
      <c r="C15" s="2" t="inlineStr">
        <is>
          <t>人日</t>
        </is>
      </c>
      <c r="D15" s="14">
        <f>概要!B5+概要!B6*1</f>
        <v/>
      </c>
      <c r="E15" s="14">
        <f>概要!C5+概要!C6*2</f>
        <v/>
      </c>
      <c r="F15" s="14">
        <f>概要!D5+概要!D6*3</f>
        <v/>
      </c>
      <c r="G15" s="15" t="n">
        <v>20000</v>
      </c>
      <c r="H15" s="15" t="n">
        <v>25000</v>
      </c>
      <c r="I15" s="15" t="n">
        <v>30000</v>
      </c>
      <c r="J15" s="9">
        <f>D15*G15</f>
        <v/>
      </c>
      <c r="K15" s="9">
        <f>E15*H15</f>
        <v/>
      </c>
      <c r="L15" s="9">
        <f>F15*I15</f>
        <v/>
      </c>
      <c r="M15" s="2" t="inlineStr">
        <is>
          <t>推測・確信度 中</t>
        </is>
      </c>
    </row>
    <row r="16">
      <c r="A16" s="2" t="inlineStr">
        <is>
          <t>機材</t>
        </is>
      </c>
      <c r="B16" s="2" t="inlineStr">
        <is>
          <t>カメラ一式（FX6級＋レンズ）</t>
        </is>
      </c>
      <c r="C16" s="2" t="inlineStr">
        <is>
          <t>日</t>
        </is>
      </c>
      <c r="D16" s="14">
        <f>概要!B5</f>
        <v/>
      </c>
      <c r="E16" s="14">
        <f>概要!C5</f>
        <v/>
      </c>
      <c r="F16" s="14">
        <f>概要!D5</f>
        <v/>
      </c>
      <c r="G16" s="15" t="n">
        <v>20000</v>
      </c>
      <c r="H16" s="15" t="n">
        <v>40000</v>
      </c>
      <c r="I16" s="15" t="n">
        <v>80000</v>
      </c>
      <c r="J16" s="9">
        <f>D16*G16</f>
        <v/>
      </c>
      <c r="K16" s="9">
        <f>E16*H16</f>
        <v/>
      </c>
      <c r="L16" s="9">
        <f>F16*I16</f>
        <v/>
      </c>
      <c r="M16" s="2" t="inlineStr">
        <is>
          <t>FX6本体のレンタル 約8,500〜22,000円/日（確信度 高）＋レンズ・記録媒体</t>
        </is>
      </c>
    </row>
    <row r="17">
      <c r="A17" s="2" t="inlineStr">
        <is>
          <t>機材</t>
        </is>
      </c>
      <c r="B17" s="2" t="inlineStr">
        <is>
          <t>照明機材</t>
        </is>
      </c>
      <c r="C17" s="2" t="inlineStr">
        <is>
          <t>日</t>
        </is>
      </c>
      <c r="D17" s="14">
        <f>概要!B5</f>
        <v/>
      </c>
      <c r="E17" s="14">
        <f>概要!C5</f>
        <v/>
      </c>
      <c r="F17" s="14">
        <f>概要!D5</f>
        <v/>
      </c>
      <c r="G17" s="15" t="n">
        <v>10000</v>
      </c>
      <c r="H17" s="15" t="n">
        <v>30000</v>
      </c>
      <c r="I17" s="15" t="n">
        <v>60000</v>
      </c>
      <c r="J17" s="9">
        <f>D17*G17</f>
        <v/>
      </c>
      <c r="K17" s="9">
        <f>E17*H17</f>
        <v/>
      </c>
      <c r="L17" s="9">
        <f>F17*I17</f>
        <v/>
      </c>
      <c r="M17" s="2" t="inlineStr">
        <is>
          <t>推測・確信度 中</t>
        </is>
      </c>
    </row>
    <row r="18">
      <c r="A18" s="2" t="inlineStr">
        <is>
          <t>機材</t>
        </is>
      </c>
      <c r="B18" s="2" t="inlineStr">
        <is>
          <t>録音機材</t>
        </is>
      </c>
      <c r="C18" s="2" t="inlineStr">
        <is>
          <t>日</t>
        </is>
      </c>
      <c r="D18" s="14">
        <f>概要!B5</f>
        <v/>
      </c>
      <c r="E18" s="14">
        <f>概要!C5</f>
        <v/>
      </c>
      <c r="F18" s="14">
        <f>概要!D5</f>
        <v/>
      </c>
      <c r="G18" s="15" t="n">
        <v>5000</v>
      </c>
      <c r="H18" s="15" t="n">
        <v>10000</v>
      </c>
      <c r="I18" s="15" t="n">
        <v>15000</v>
      </c>
      <c r="J18" s="9">
        <f>D18*G18</f>
        <v/>
      </c>
      <c r="K18" s="9">
        <f>E18*H18</f>
        <v/>
      </c>
      <c r="L18" s="9">
        <f>F18*I18</f>
        <v/>
      </c>
      <c r="M18" s="2" t="inlineStr">
        <is>
          <t>推測・確信度 中</t>
        </is>
      </c>
    </row>
    <row r="19">
      <c r="A19" s="2" t="inlineStr">
        <is>
          <t>機材</t>
        </is>
      </c>
      <c r="B19" s="2" t="inlineStr">
        <is>
          <t>車両（機材車）</t>
        </is>
      </c>
      <c r="C19" s="2" t="inlineStr">
        <is>
          <t>日</t>
        </is>
      </c>
      <c r="D19" s="14">
        <f>概要!B5</f>
        <v/>
      </c>
      <c r="E19" s="14">
        <f>概要!C5</f>
        <v/>
      </c>
      <c r="F19" s="14">
        <f>概要!D5</f>
        <v/>
      </c>
      <c r="G19" s="15" t="n">
        <v>10000</v>
      </c>
      <c r="H19" s="15" t="n">
        <v>20000</v>
      </c>
      <c r="I19" s="15" t="n">
        <v>30000</v>
      </c>
      <c r="J19" s="9">
        <f>D19*G19</f>
        <v/>
      </c>
      <c r="K19" s="9">
        <f>E19*H19</f>
        <v/>
      </c>
      <c r="L19" s="9">
        <f>F19*I19</f>
        <v/>
      </c>
      <c r="M19" s="2" t="inlineStr">
        <is>
          <t>推測・確信度 中</t>
        </is>
      </c>
    </row>
    <row r="20">
      <c r="A20" s="2" t="inlineStr">
        <is>
          <t>場所</t>
        </is>
      </c>
      <c r="B20" s="2" t="inlineStr">
        <is>
          <t>L1 布団屋</t>
        </is>
      </c>
      <c r="C20" s="2" t="inlineStr">
        <is>
          <t>日</t>
        </is>
      </c>
      <c r="D20" s="14">
        <f>香盤!K2</f>
        <v/>
      </c>
      <c r="E20" s="14">
        <f>香盤!L2</f>
        <v/>
      </c>
      <c r="F20" s="14">
        <f>香盤!M2</f>
        <v/>
      </c>
      <c r="G20" s="15" t="n">
        <v>50000</v>
      </c>
      <c r="H20" s="15" t="n">
        <v>80000</v>
      </c>
      <c r="I20" s="15" t="n">
        <v>100000</v>
      </c>
      <c r="J20" s="9">
        <f>D20*G20</f>
        <v/>
      </c>
      <c r="K20" s="9">
        <f>E20*H20</f>
        <v/>
      </c>
      <c r="L20" s="9">
        <f>F20*I20</f>
        <v/>
      </c>
      <c r="M20" s="2" t="inlineStr">
        <is>
          <t>推測・確信度 低</t>
        </is>
      </c>
    </row>
    <row r="21">
      <c r="A21" s="2" t="inlineStr">
        <is>
          <t>場所</t>
        </is>
      </c>
      <c r="B21" s="2" t="inlineStr">
        <is>
          <t>L2 アパート（204号室・建物前）</t>
        </is>
      </c>
      <c r="C21" s="2" t="inlineStr">
        <is>
          <t>日</t>
        </is>
      </c>
      <c r="D21" s="14">
        <f>香盤!K3+香盤!K4+香盤!K5</f>
        <v/>
      </c>
      <c r="E21" s="14">
        <f>香盤!L3+香盤!L4+香盤!L5</f>
        <v/>
      </c>
      <c r="F21" s="14">
        <f>香盤!M3+香盤!M4+香盤!M5</f>
        <v/>
      </c>
      <c r="G21" s="15" t="n">
        <v>30000</v>
      </c>
      <c r="H21" s="15" t="n">
        <v>50000</v>
      </c>
      <c r="I21" s="15" t="n">
        <v>80000</v>
      </c>
      <c r="J21" s="9">
        <f>D21*G21</f>
        <v/>
      </c>
      <c r="K21" s="9">
        <f>E21*H21</f>
        <v/>
      </c>
      <c r="L21" s="9">
        <f>F21*I21</f>
        <v/>
      </c>
      <c r="M21" s="2" t="inlineStr">
        <is>
          <t>推測・確信度 低</t>
        </is>
      </c>
    </row>
    <row r="22">
      <c r="A22" s="2" t="inlineStr">
        <is>
          <t>場所</t>
        </is>
      </c>
      <c r="B22" s="2" t="inlineStr">
        <is>
          <t>L3 雑居ビル（空き物件・月借り）</t>
        </is>
      </c>
      <c r="C22" s="2" t="inlineStr">
        <is>
          <t>月</t>
        </is>
      </c>
      <c r="D22" s="16" t="n">
        <v>1</v>
      </c>
      <c r="E22" s="16" t="n">
        <v>1</v>
      </c>
      <c r="F22" s="16" t="n">
        <v>1.5</v>
      </c>
      <c r="G22" s="15" t="n">
        <v>300000</v>
      </c>
      <c r="H22" s="15" t="n">
        <v>500000</v>
      </c>
      <c r="I22" s="15" t="n">
        <v>800000</v>
      </c>
      <c r="J22" s="9">
        <f>D22*G22</f>
        <v/>
      </c>
      <c r="K22" s="9">
        <f>E22*H22</f>
        <v/>
      </c>
      <c r="L22" s="9">
        <f>F22*I22</f>
        <v/>
      </c>
      <c r="M22" s="2" t="inlineStr">
        <is>
          <t>空きテナントの月額を想定。推測・確信度 低</t>
        </is>
      </c>
    </row>
    <row r="23">
      <c r="A23" s="2" t="inlineStr">
        <is>
          <t>場所</t>
        </is>
      </c>
      <c r="B23" s="2" t="inlineStr">
        <is>
          <t>L3 白く塗る・原状回復</t>
        </is>
      </c>
      <c r="C23" s="2" t="inlineStr">
        <is>
          <t>式</t>
        </is>
      </c>
      <c r="D23" s="16" t="n">
        <v>1</v>
      </c>
      <c r="E23" s="16" t="n">
        <v>1</v>
      </c>
      <c r="F23" s="16" t="n">
        <v>1</v>
      </c>
      <c r="G23" s="15" t="n">
        <v>200000</v>
      </c>
      <c r="H23" s="15" t="n">
        <v>400000</v>
      </c>
      <c r="I23" s="15" t="n">
        <v>600000</v>
      </c>
      <c r="J23" s="9">
        <f>D23*G23</f>
        <v/>
      </c>
      <c r="K23" s="9">
        <f>E23*H23</f>
        <v/>
      </c>
      <c r="L23" s="9">
        <f>F23*I23</f>
        <v/>
      </c>
      <c r="M23" s="2" t="inlineStr">
        <is>
          <t>推測・確信度 低</t>
        </is>
      </c>
    </row>
    <row r="24">
      <c r="A24" s="2" t="inlineStr">
        <is>
          <t>場所</t>
        </is>
      </c>
      <c r="B24" s="2" t="inlineStr">
        <is>
          <t>L4 非常階段・駐車場</t>
        </is>
      </c>
      <c r="C24" s="2" t="inlineStr">
        <is>
          <t>日</t>
        </is>
      </c>
      <c r="D24" s="14">
        <f>香盤!K11+香盤!K12</f>
        <v/>
      </c>
      <c r="E24" s="14">
        <f>香盤!L11+香盤!L12</f>
        <v/>
      </c>
      <c r="F24" s="14">
        <f>香盤!M11+香盤!M12</f>
        <v/>
      </c>
      <c r="G24" s="15" t="n">
        <v>50000</v>
      </c>
      <c r="H24" s="15" t="n">
        <v>80000</v>
      </c>
      <c r="I24" s="15" t="n">
        <v>100000</v>
      </c>
      <c r="J24" s="9">
        <f>D24*G24</f>
        <v/>
      </c>
      <c r="K24" s="9">
        <f>E24*H24</f>
        <v/>
      </c>
      <c r="L24" s="9">
        <f>F24*I24</f>
        <v/>
      </c>
      <c r="M24" s="2" t="inlineStr">
        <is>
          <t>L3と同じビルなら0にできる。推測・確信度 低</t>
        </is>
      </c>
    </row>
    <row r="25">
      <c r="A25" s="2" t="inlineStr">
        <is>
          <t>場所</t>
        </is>
      </c>
      <c r="B25" s="2" t="inlineStr">
        <is>
          <t>L5 団地（撮影許可）</t>
        </is>
      </c>
      <c r="C25" s="2" t="inlineStr">
        <is>
          <t>日</t>
        </is>
      </c>
      <c r="D25" s="14">
        <f>香盤!K13</f>
        <v/>
      </c>
      <c r="E25" s="14">
        <f>香盤!L13</f>
        <v/>
      </c>
      <c r="F25" s="14">
        <f>香盤!M13</f>
        <v/>
      </c>
      <c r="G25" s="15" t="n">
        <v>30000</v>
      </c>
      <c r="H25" s="15" t="n">
        <v>50000</v>
      </c>
      <c r="I25" s="15" t="n">
        <v>80000</v>
      </c>
      <c r="J25" s="9">
        <f>D25*G25</f>
        <v/>
      </c>
      <c r="K25" s="9">
        <f>E25*H25</f>
        <v/>
      </c>
      <c r="L25" s="9">
        <f>F25*I25</f>
        <v/>
      </c>
      <c r="M25" s="2" t="inlineStr">
        <is>
          <t>推測・確信度 低</t>
        </is>
      </c>
    </row>
    <row r="26">
      <c r="A26" s="2" t="inlineStr">
        <is>
          <t>美術</t>
        </is>
      </c>
      <c r="B26" s="2" t="inlineStr">
        <is>
          <t>コインランドリー看板（赤・緑・青）</t>
        </is>
      </c>
      <c r="C26" s="2" t="inlineStr">
        <is>
          <t>式</t>
        </is>
      </c>
      <c r="D26" s="16" t="n">
        <v>1</v>
      </c>
      <c r="E26" s="16" t="n">
        <v>1</v>
      </c>
      <c r="F26" s="16" t="n">
        <v>1</v>
      </c>
      <c r="G26" s="15" t="n">
        <v>100000</v>
      </c>
      <c r="H26" s="15" t="n">
        <v>300000</v>
      </c>
      <c r="I26" s="15" t="n">
        <v>500000</v>
      </c>
      <c r="J26" s="9">
        <f>D26*G26</f>
        <v/>
      </c>
      <c r="K26" s="9">
        <f>E26*H26</f>
        <v/>
      </c>
      <c r="L26" s="9">
        <f>F26*I26</f>
        <v/>
      </c>
      <c r="M26" s="2" t="inlineStr">
        <is>
          <t>実在の看板が使えれば減る。推測・確信度 低</t>
        </is>
      </c>
    </row>
    <row r="27">
      <c r="A27" s="2" t="inlineStr">
        <is>
          <t>美術</t>
        </is>
      </c>
      <c r="B27" s="2" t="inlineStr">
        <is>
          <t>小道具・衣装・配信画面の作り込み</t>
        </is>
      </c>
      <c r="C27" s="2" t="inlineStr">
        <is>
          <t>式</t>
        </is>
      </c>
      <c r="D27" s="16" t="n">
        <v>1</v>
      </c>
      <c r="E27" s="16" t="n">
        <v>1</v>
      </c>
      <c r="F27" s="16" t="n">
        <v>1</v>
      </c>
      <c r="G27" s="15" t="n">
        <v>150000</v>
      </c>
      <c r="H27" s="15" t="n">
        <v>300000</v>
      </c>
      <c r="I27" s="15" t="n">
        <v>600000</v>
      </c>
      <c r="J27" s="9">
        <f>D27*G27</f>
        <v/>
      </c>
      <c r="K27" s="9">
        <f>E27*H27</f>
        <v/>
      </c>
      <c r="L27" s="9">
        <f>F27*I27</f>
        <v/>
      </c>
      <c r="M27" s="2" t="inlineStr">
        <is>
          <t>名刺・ロゴ・手帳・犬のアイコンなど。推測・確信度 低</t>
        </is>
      </c>
    </row>
    <row r="28">
      <c r="A28" s="2" t="inlineStr">
        <is>
          <t>制作費</t>
        </is>
      </c>
      <c r="B28" s="2" t="inlineStr">
        <is>
          <t>食事（1人1日3,000円）</t>
        </is>
      </c>
      <c r="C28" s="2" t="inlineStr">
        <is>
          <t>人日</t>
        </is>
      </c>
      <c r="D28" s="14">
        <f>概要!B8*概要!B5</f>
        <v/>
      </c>
      <c r="E28" s="14">
        <f>概要!C8*概要!C5</f>
        <v/>
      </c>
      <c r="F28" s="14">
        <f>概要!D8*概要!D5</f>
        <v/>
      </c>
      <c r="G28" s="15" t="n">
        <v>3000</v>
      </c>
      <c r="H28" s="15" t="n">
        <v>3000</v>
      </c>
      <c r="I28" s="15" t="n">
        <v>3500</v>
      </c>
      <c r="J28" s="9">
        <f>D28*G28</f>
        <v/>
      </c>
      <c r="K28" s="9">
        <f>E28*H28</f>
        <v/>
      </c>
      <c r="L28" s="9">
        <f>F28*I28</f>
        <v/>
      </c>
      <c r="M28" s="2" t="inlineStr">
        <is>
          <t>推測・確信度 中</t>
        </is>
      </c>
    </row>
    <row r="29">
      <c r="A29" s="2" t="inlineStr">
        <is>
          <t>制作費</t>
        </is>
      </c>
      <c r="B29" s="2" t="inlineStr">
        <is>
          <t>交通・駐車</t>
        </is>
      </c>
      <c r="C29" s="2" t="inlineStr">
        <is>
          <t>人日</t>
        </is>
      </c>
      <c r="D29" s="14">
        <f>概要!B8*概要!B5</f>
        <v/>
      </c>
      <c r="E29" s="14">
        <f>概要!C8*概要!C5</f>
        <v/>
      </c>
      <c r="F29" s="14">
        <f>概要!D8*概要!D5</f>
        <v/>
      </c>
      <c r="G29" s="15" t="n">
        <v>1000</v>
      </c>
      <c r="H29" s="15" t="n">
        <v>1500</v>
      </c>
      <c r="I29" s="15" t="n">
        <v>2000</v>
      </c>
      <c r="J29" s="9">
        <f>D29*G29</f>
        <v/>
      </c>
      <c r="K29" s="9">
        <f>E29*H29</f>
        <v/>
      </c>
      <c r="L29" s="9">
        <f>F29*I29</f>
        <v/>
      </c>
      <c r="M29" s="2" t="inlineStr">
        <is>
          <t>推測・確信度 中</t>
        </is>
      </c>
    </row>
    <row r="30">
      <c r="A30" s="2" t="inlineStr">
        <is>
          <t>制作費</t>
        </is>
      </c>
      <c r="B30" s="2" t="inlineStr">
        <is>
          <t>撮影保険</t>
        </is>
      </c>
      <c r="C30" s="2" t="inlineStr">
        <is>
          <t>式</t>
        </is>
      </c>
      <c r="D30" s="16" t="n">
        <v>1</v>
      </c>
      <c r="E30" s="16" t="n">
        <v>1</v>
      </c>
      <c r="F30" s="16" t="n">
        <v>1</v>
      </c>
      <c r="G30" s="15" t="n">
        <v>50000</v>
      </c>
      <c r="H30" s="15" t="n">
        <v>100000</v>
      </c>
      <c r="I30" s="15" t="n">
        <v>200000</v>
      </c>
      <c r="J30" s="9">
        <f>D30*G30</f>
        <v/>
      </c>
      <c r="K30" s="9">
        <f>E30*H30</f>
        <v/>
      </c>
      <c r="L30" s="9">
        <f>F30*I30</f>
        <v/>
      </c>
      <c r="M30" s="2" t="inlineStr">
        <is>
          <t>推測・確信度 低。保険会社に要見積もり</t>
        </is>
      </c>
    </row>
    <row r="31">
      <c r="A31" s="2" t="inlineStr">
        <is>
          <t>制作費</t>
        </is>
      </c>
      <c r="B31" s="2" t="inlineStr">
        <is>
          <t>試し撮り（3場を一晩）</t>
        </is>
      </c>
      <c r="C31" s="2" t="inlineStr">
        <is>
          <t>式</t>
        </is>
      </c>
      <c r="D31" s="16" t="n">
        <v>1</v>
      </c>
      <c r="E31" s="16" t="n">
        <v>1</v>
      </c>
      <c r="F31" s="16" t="n">
        <v>1</v>
      </c>
      <c r="G31" s="15" t="n">
        <v>50000</v>
      </c>
      <c r="H31" s="15" t="n">
        <v>100000</v>
      </c>
      <c r="I31" s="15" t="n">
        <v>200000</v>
      </c>
      <c r="J31" s="9">
        <f>D31*G31</f>
        <v/>
      </c>
      <c r="K31" s="9">
        <f>E31*H31</f>
        <v/>
      </c>
      <c r="L31" s="9">
        <f>F31*I31</f>
        <v/>
      </c>
      <c r="M31" s="2" t="inlineStr">
        <is>
          <t>撮影前に一晩で試す費用</t>
        </is>
      </c>
    </row>
    <row r="32">
      <c r="A32" s="2" t="inlineStr">
        <is>
          <t>仕上げ</t>
        </is>
      </c>
      <c r="B32" s="2" t="inlineStr">
        <is>
          <t>編集</t>
        </is>
      </c>
      <c r="C32" s="2" t="inlineStr">
        <is>
          <t>式</t>
        </is>
      </c>
      <c r="D32" s="16" t="n">
        <v>1</v>
      </c>
      <c r="E32" s="16" t="n">
        <v>1</v>
      </c>
      <c r="F32" s="16" t="n">
        <v>1</v>
      </c>
      <c r="G32" s="15" t="n">
        <v>0</v>
      </c>
      <c r="H32" s="15" t="n">
        <v>500000</v>
      </c>
      <c r="I32" s="15" t="n">
        <v>1000000</v>
      </c>
      <c r="J32" s="9">
        <f>D32*G32</f>
        <v/>
      </c>
      <c r="K32" s="9">
        <f>E32*H32</f>
        <v/>
      </c>
      <c r="L32" s="9">
        <f>F32*I32</f>
        <v/>
      </c>
      <c r="M32" s="2" t="inlineStr">
        <is>
          <t>A は自社（早坂）で編集</t>
        </is>
      </c>
    </row>
    <row r="33">
      <c r="A33" s="2" t="inlineStr">
        <is>
          <t>仕上げ</t>
        </is>
      </c>
      <c r="B33" s="2" t="inlineStr">
        <is>
          <t>カラーグレーディング</t>
        </is>
      </c>
      <c r="C33" s="2" t="inlineStr">
        <is>
          <t>式</t>
        </is>
      </c>
      <c r="D33" s="16" t="n">
        <v>1</v>
      </c>
      <c r="E33" s="16" t="n">
        <v>1</v>
      </c>
      <c r="F33" s="16" t="n">
        <v>1</v>
      </c>
      <c r="G33" s="15" t="n">
        <v>200000</v>
      </c>
      <c r="H33" s="15" t="n">
        <v>600000</v>
      </c>
      <c r="I33" s="15" t="n">
        <v>1500000</v>
      </c>
      <c r="J33" s="9">
        <f>D33*G33</f>
        <v/>
      </c>
      <c r="K33" s="9">
        <f>E33*H33</f>
        <v/>
      </c>
      <c r="L33" s="9">
        <f>F33*I33</f>
        <v/>
      </c>
      <c r="M33" s="2" t="inlineStr">
        <is>
          <t>推測・確信度 低</t>
        </is>
      </c>
    </row>
    <row r="34">
      <c r="A34" s="2" t="inlineStr">
        <is>
          <t>仕上げ</t>
        </is>
      </c>
      <c r="B34" s="2" t="inlineStr">
        <is>
          <t>整音・MA</t>
        </is>
      </c>
      <c r="C34" s="2" t="inlineStr">
        <is>
          <t>式</t>
        </is>
      </c>
      <c r="D34" s="16" t="n">
        <v>1</v>
      </c>
      <c r="E34" s="16" t="n">
        <v>1</v>
      </c>
      <c r="F34" s="16" t="n">
        <v>1</v>
      </c>
      <c r="G34" s="15" t="n">
        <v>300000</v>
      </c>
      <c r="H34" s="15" t="n">
        <v>800000</v>
      </c>
      <c r="I34" s="15" t="n">
        <v>1500000</v>
      </c>
      <c r="J34" s="9">
        <f>D34*G34</f>
        <v/>
      </c>
      <c r="K34" s="9">
        <f>E34*H34</f>
        <v/>
      </c>
      <c r="L34" s="9">
        <f>F34*I34</f>
        <v/>
      </c>
      <c r="M34" s="2" t="inlineStr">
        <is>
          <t>推測・確信度 低</t>
        </is>
      </c>
    </row>
    <row r="35">
      <c r="A35" s="2" t="inlineStr">
        <is>
          <t>仕上げ</t>
        </is>
      </c>
      <c r="B35" s="2" t="inlineStr">
        <is>
          <t>音楽</t>
        </is>
      </c>
      <c r="C35" s="2" t="inlineStr">
        <is>
          <t>式</t>
        </is>
      </c>
      <c r="D35" s="16" t="n">
        <v>1</v>
      </c>
      <c r="E35" s="16" t="n">
        <v>1</v>
      </c>
      <c r="F35" s="16" t="n">
        <v>1</v>
      </c>
      <c r="G35" s="15" t="n">
        <v>100000</v>
      </c>
      <c r="H35" s="15" t="n">
        <v>500000</v>
      </c>
      <c r="I35" s="15" t="n">
        <v>1000000</v>
      </c>
      <c r="J35" s="9">
        <f>D35*G35</f>
        <v/>
      </c>
      <c r="K35" s="9">
        <f>E35*H35</f>
        <v/>
      </c>
      <c r="L35" s="9">
        <f>F35*I35</f>
        <v/>
      </c>
      <c r="M35" s="2" t="inlineStr">
        <is>
          <t>推測・確信度 低</t>
        </is>
      </c>
    </row>
    <row r="36">
      <c r="A36" s="2" t="inlineStr">
        <is>
          <t>仕上げ</t>
        </is>
      </c>
      <c r="B36" s="2" t="inlineStr">
        <is>
          <t>英語字幕</t>
        </is>
      </c>
      <c r="C36" s="2" t="inlineStr">
        <is>
          <t>式</t>
        </is>
      </c>
      <c r="D36" s="16" t="n">
        <v>1</v>
      </c>
      <c r="E36" s="16" t="n">
        <v>1</v>
      </c>
      <c r="F36" s="16" t="n">
        <v>1</v>
      </c>
      <c r="G36" s="15" t="n">
        <v>150000</v>
      </c>
      <c r="H36" s="15" t="n">
        <v>250000</v>
      </c>
      <c r="I36" s="15" t="n">
        <v>400000</v>
      </c>
      <c r="J36" s="9">
        <f>D36*G36</f>
        <v/>
      </c>
      <c r="K36" s="9">
        <f>E36*H36</f>
        <v/>
      </c>
      <c r="L36" s="9">
        <f>F36*I36</f>
        <v/>
      </c>
      <c r="M36" s="2" t="inlineStr">
        <is>
          <t>推測・確信度 低</t>
        </is>
      </c>
    </row>
    <row r="37">
      <c r="A37" s="2" t="inlineStr">
        <is>
          <t>仕上げ</t>
        </is>
      </c>
      <c r="B37" s="2" t="inlineStr">
        <is>
          <t>DCP作成</t>
        </is>
      </c>
      <c r="C37" s="2" t="inlineStr">
        <is>
          <t>式</t>
        </is>
      </c>
      <c r="D37" s="16" t="n">
        <v>1</v>
      </c>
      <c r="E37" s="16" t="n">
        <v>1</v>
      </c>
      <c r="F37" s="16" t="n">
        <v>1</v>
      </c>
      <c r="G37" s="15" t="n">
        <v>100000</v>
      </c>
      <c r="H37" s="15" t="n">
        <v>200000</v>
      </c>
      <c r="I37" s="15" t="n">
        <v>300000</v>
      </c>
      <c r="J37" s="9">
        <f>D37*G37</f>
        <v/>
      </c>
      <c r="K37" s="9">
        <f>E37*H37</f>
        <v/>
      </c>
      <c r="L37" s="9">
        <f>F37*I37</f>
        <v/>
      </c>
      <c r="M37" s="2" t="inlineStr">
        <is>
          <t>推測・確信度 低</t>
        </is>
      </c>
    </row>
    <row r="38">
      <c r="A38" s="2" t="inlineStr">
        <is>
          <t>映画祭</t>
        </is>
      </c>
      <c r="B38" s="2" t="inlineStr">
        <is>
          <t>応募料・素材送付</t>
        </is>
      </c>
      <c r="C38" s="2" t="inlineStr">
        <is>
          <t>式</t>
        </is>
      </c>
      <c r="D38" s="16" t="n">
        <v>1</v>
      </c>
      <c r="E38" s="16" t="n">
        <v>1</v>
      </c>
      <c r="F38" s="16" t="n">
        <v>1</v>
      </c>
      <c r="G38" s="15" t="n">
        <v>100000</v>
      </c>
      <c r="H38" s="15" t="n">
        <v>200000</v>
      </c>
      <c r="I38" s="15" t="n">
        <v>400000</v>
      </c>
      <c r="J38" s="9">
        <f>D38*G38</f>
        <v/>
      </c>
      <c r="K38" s="9">
        <f>E38*H38</f>
        <v/>
      </c>
      <c r="L38" s="9">
        <f>F38*I38</f>
        <v/>
      </c>
      <c r="M38" s="2" t="inlineStr">
        <is>
          <t>推測・確信度 低</t>
        </is>
      </c>
    </row>
    <row r="39">
      <c r="A39" s="2" t="inlineStr">
        <is>
          <t>映画祭</t>
        </is>
      </c>
      <c r="B39" s="2" t="inlineStr">
        <is>
          <t>渡航（監督・主演）</t>
        </is>
      </c>
      <c r="C39" s="2" t="inlineStr">
        <is>
          <t>式</t>
        </is>
      </c>
      <c r="D39" s="16" t="n">
        <v>0</v>
      </c>
      <c r="E39" s="16" t="n">
        <v>1</v>
      </c>
      <c r="F39" s="16" t="n">
        <v>1</v>
      </c>
      <c r="G39" s="15" t="n">
        <v>0</v>
      </c>
      <c r="H39" s="15" t="n">
        <v>500000</v>
      </c>
      <c r="I39" s="15" t="n">
        <v>1000000</v>
      </c>
      <c r="J39" s="9">
        <f>D39*G39</f>
        <v/>
      </c>
      <c r="K39" s="9">
        <f>E39*H39</f>
        <v/>
      </c>
      <c r="L39" s="9">
        <f>F39*I39</f>
        <v/>
      </c>
      <c r="M39" s="2" t="inlineStr">
        <is>
          <t>選ばれた場合のみ</t>
        </is>
      </c>
    </row>
    <row r="40">
      <c r="A40" s="2" t="inlineStr"/>
    </row>
    <row r="41">
      <c r="A41" s="7" t="inlineStr">
        <is>
          <t>小計（税抜）</t>
        </is>
      </c>
      <c r="J41" s="10">
        <f>SUM(J2:J39)</f>
        <v/>
      </c>
      <c r="K41" s="10">
        <f>SUM(K2:K39)</f>
        <v/>
      </c>
      <c r="L41" s="10">
        <f>SUM(L2:L39)</f>
        <v/>
      </c>
    </row>
    <row r="43">
      <c r="A43" s="7" t="inlineStr">
        <is>
          <t>区分別</t>
        </is>
      </c>
    </row>
    <row r="44">
      <c r="A44" s="2" t="inlineStr">
        <is>
          <t>出演</t>
        </is>
      </c>
      <c r="J44" s="17">
        <f>SUMIF($A$2:$A$39,$A44,J$2:J$39)</f>
        <v/>
      </c>
      <c r="K44" s="17">
        <f>SUMIF($A$2:$A$39,$A44,K$2:K$39)</f>
        <v/>
      </c>
      <c r="L44" s="17">
        <f>SUMIF($A$2:$A$39,$A44,L$2:L$39)</f>
        <v/>
      </c>
    </row>
    <row r="45">
      <c r="A45" s="2" t="inlineStr">
        <is>
          <t>スタッフ</t>
        </is>
      </c>
      <c r="J45" s="17">
        <f>SUMIF($A$2:$A$39,$A45,J$2:J$39)</f>
        <v/>
      </c>
      <c r="K45" s="17">
        <f>SUMIF($A$2:$A$39,$A45,K$2:K$39)</f>
        <v/>
      </c>
      <c r="L45" s="17">
        <f>SUMIF($A$2:$A$39,$A45,L$2:L$39)</f>
        <v/>
      </c>
    </row>
    <row r="46">
      <c r="A46" s="2" t="inlineStr">
        <is>
          <t>機材</t>
        </is>
      </c>
      <c r="J46" s="17">
        <f>SUMIF($A$2:$A$39,$A46,J$2:J$39)</f>
        <v/>
      </c>
      <c r="K46" s="17">
        <f>SUMIF($A$2:$A$39,$A46,K$2:K$39)</f>
        <v/>
      </c>
      <c r="L46" s="17">
        <f>SUMIF($A$2:$A$39,$A46,L$2:L$39)</f>
        <v/>
      </c>
    </row>
    <row r="47">
      <c r="A47" s="2" t="inlineStr">
        <is>
          <t>場所</t>
        </is>
      </c>
      <c r="J47" s="17">
        <f>SUMIF($A$2:$A$39,$A47,J$2:J$39)</f>
        <v/>
      </c>
      <c r="K47" s="17">
        <f>SUMIF($A$2:$A$39,$A47,K$2:K$39)</f>
        <v/>
      </c>
      <c r="L47" s="17">
        <f>SUMIF($A$2:$A$39,$A47,L$2:L$39)</f>
        <v/>
      </c>
    </row>
    <row r="48">
      <c r="A48" s="2" t="inlineStr">
        <is>
          <t>美術</t>
        </is>
      </c>
      <c r="J48" s="17">
        <f>SUMIF($A$2:$A$39,$A48,J$2:J$39)</f>
        <v/>
      </c>
      <c r="K48" s="17">
        <f>SUMIF($A$2:$A$39,$A48,K$2:K$39)</f>
        <v/>
      </c>
      <c r="L48" s="17">
        <f>SUMIF($A$2:$A$39,$A48,L$2:L$39)</f>
        <v/>
      </c>
    </row>
    <row r="49">
      <c r="A49" s="2" t="inlineStr">
        <is>
          <t>制作費</t>
        </is>
      </c>
      <c r="J49" s="17">
        <f>SUMIF($A$2:$A$39,$A49,J$2:J$39)</f>
        <v/>
      </c>
      <c r="K49" s="17">
        <f>SUMIF($A$2:$A$39,$A49,K$2:K$39)</f>
        <v/>
      </c>
      <c r="L49" s="17">
        <f>SUMIF($A$2:$A$39,$A49,L$2:L$39)</f>
        <v/>
      </c>
    </row>
    <row r="50">
      <c r="A50" s="2" t="inlineStr">
        <is>
          <t>仕上げ</t>
        </is>
      </c>
      <c r="J50" s="17">
        <f>SUMIF($A$2:$A$39,$A50,J$2:J$39)</f>
        <v/>
      </c>
      <c r="K50" s="17">
        <f>SUMIF($A$2:$A$39,$A50,K$2:K$39)</f>
        <v/>
      </c>
      <c r="L50" s="17">
        <f>SUMIF($A$2:$A$39,$A50,L$2:L$39)</f>
        <v/>
      </c>
    </row>
    <row r="51">
      <c r="A51" s="2" t="inlineStr">
        <is>
          <t>映画祭</t>
        </is>
      </c>
      <c r="J51" s="17">
        <f>SUMIF($A$2:$A$39,$A51,J$2:J$39)</f>
        <v/>
      </c>
      <c r="K51" s="17">
        <f>SUMIF($A$2:$A$39,$A51,K$2:K$39)</f>
        <v/>
      </c>
      <c r="L51" s="17">
        <f>SUMIF($A$2:$A$39,$A51,L$2:L$39)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70" customWidth="1" min="3" max="3"/>
    <col width="18" customWidth="1" min="4" max="4"/>
  </cols>
  <sheetData>
    <row r="1">
      <c r="A1" s="18" t="inlineStr">
        <is>
          <t>項目</t>
        </is>
      </c>
      <c r="B1" s="18" t="inlineStr">
        <is>
          <t>内容</t>
        </is>
      </c>
      <c r="C1" s="18" t="inlineStr">
        <is>
          <t>出典</t>
        </is>
      </c>
      <c r="D1" s="18" t="inlineStr">
        <is>
          <t>確信度</t>
        </is>
      </c>
    </row>
    <row r="2">
      <c r="A2" s="19" t="inlineStr">
        <is>
          <t>カメラのレンタル</t>
        </is>
      </c>
      <c r="B2" s="19" t="inlineStr">
        <is>
          <t>Sony FX6 本体 1日 約8,470円（税込）〜22,000円（税抜）</t>
        </is>
      </c>
      <c r="C2" s="19" t="inlineStr">
        <is>
          <t>東京カメラ機材レンタル http://tokyo-camera.jp/sony-fx6/ ／ ティスマン https://www.tisman.co.jp/item/fx6/ ／ TREE https://www.tdsi.co.jp/crank/equipment/digital_camera/sony/fx6.html</t>
        </is>
      </c>
      <c r="D2" s="19" t="inlineStr">
        <is>
          <t>高</t>
        </is>
      </c>
    </row>
    <row r="3">
      <c r="A3" s="19" t="inlineStr">
        <is>
          <t>カメラマンの日当</t>
        </is>
      </c>
      <c r="B3" s="19" t="inlineStr">
        <is>
          <t>日当制で1撮影 約2万円が相場（拘束時間に関わらず）</t>
        </is>
      </c>
      <c r="C3" s="19" t="inlineStr">
        <is>
          <t>PRONIアイミツ https://imitsu.jp/cost/movie/article/video</t>
        </is>
      </c>
      <c r="D3" s="19" t="inlineStr">
        <is>
          <t>中</t>
        </is>
      </c>
    </row>
    <row r="4">
      <c r="A4" s="19" t="inlineStr">
        <is>
          <t>映画スタッフの報酬</t>
        </is>
      </c>
      <c r="B4" s="19" t="inlineStr">
        <is>
          <t>決まった規定はなく、約40年ほぼ変わらない「相場」がある</t>
        </is>
      </c>
      <c r="C4" s="19" t="inlineStr">
        <is>
          <t>内閣官房 資料 https://www.cas.go.jp/jp/seisaku/atarashii_sihonsyugi/wgkaisai/contents_dai1/siryou9.pdf</t>
        </is>
      </c>
      <c r="D4" s="19" t="inlineStr">
        <is>
          <t>中</t>
        </is>
      </c>
    </row>
    <row r="5">
      <c r="A5" s="19" t="inlineStr">
        <is>
          <t>低予算映画の規模</t>
        </is>
      </c>
      <c r="B5" s="19" t="inlineStr">
        <is>
          <t>インディーズ・新人監督作は数百万〜3,000万円程度。『カメラを止めるな！』は約300万円</t>
        </is>
      </c>
      <c r="C5" s="19" t="inlineStr">
        <is>
          <t>LOOHCS https://loohcs.jp/articles/1740 ／ 映画チャンネル https://eigachannel.jp/movie/122198/</t>
        </is>
      </c>
      <c r="D5" s="19" t="inlineStr">
        <is>
          <t>中</t>
        </is>
      </c>
    </row>
    <row r="6">
      <c r="A6" s="19" t="inlineStr">
        <is>
          <t>子役の就労時間</t>
        </is>
      </c>
      <c r="B6" s="19" t="inlineStr">
        <is>
          <t>15歳未満は20時〜翌5時の就労禁止。演劇子役（映画を含む）は21時〜翌6時の禁止に緩和</t>
        </is>
      </c>
      <c r="C6" s="19" t="inlineStr">
        <is>
          <t>骨董通り法律事務所 https://www.kottolaw.com/column/000893.html ／ 厚労省福岡労働局 https://jsite.mhlw.go.jp/fukuoka-roudoukyoku/var/rev0/0119/7561/6.pdf</t>
        </is>
      </c>
      <c r="D6" s="19" t="inlineStr">
        <is>
          <t>高（最終確認は社労士へ）</t>
        </is>
      </c>
    </row>
    <row r="7">
      <c r="A7" s="19" t="inlineStr">
        <is>
          <t>俳優のギャラ</t>
        </is>
      </c>
      <c r="B7" s="19" t="inlineStr">
        <is>
          <t>公開された相場の資料は見つからず。事務所・知名度で大きく変わる</t>
        </is>
      </c>
      <c r="C7" s="19" t="inlineStr">
        <is>
          <t>—</t>
        </is>
      </c>
      <c r="D7" s="19" t="inlineStr">
        <is>
          <t>低（要見積もり）</t>
        </is>
      </c>
    </row>
    <row r="8">
      <c r="A8" s="19" t="inlineStr">
        <is>
          <t>ロケ・物件</t>
        </is>
      </c>
      <c r="B8" s="19" t="inlineStr">
        <is>
          <t>空きテナントの月額、団地・商店街の許可料は地域と管理者で大きく変わる</t>
        </is>
      </c>
      <c r="C8" s="19" t="inlineStr">
        <is>
          <t>—</t>
        </is>
      </c>
      <c r="D8" s="19" t="inlineStr">
        <is>
          <t>低（要見積もり）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2026-09-29T10:22:57Z</dcterms:created>
  <dcterms:modified xmlns:dcterms="http://purl.org/dc/terms/" xmlns:xsi="http://www.w3.org/2001/XMLSchema-instance" xsi:type="dcterms:W3CDTF">2026-09-29T10:34:01Z</dcterms:modified>
</cp:coreProperties>
</file>